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62205242adaaad5/excel folder/"/>
    </mc:Choice>
  </mc:AlternateContent>
  <xr:revisionPtr revIDLastSave="514" documentId="8_{3E5DF747-0C2E-4416-89A1-FFEE76DD8D87}" xr6:coauthVersionLast="47" xr6:coauthVersionMax="47" xr10:uidLastSave="{F3C29102-5D31-490E-B314-63657CA0E426}"/>
  <bookViews>
    <workbookView xWindow="-108" yWindow="-108" windowWidth="23256" windowHeight="12456" activeTab="2" xr2:uid="{E7ED329D-BD57-4DA6-8260-C187FD36B0A1}"/>
  </bookViews>
  <sheets>
    <sheet name="Data" sheetId="1" r:id="rId1"/>
    <sheet name="Calculations" sheetId="3" r:id="rId2"/>
    <sheet name="Pivot_Summary" sheetId="4" r:id="rId3"/>
  </sheets>
  <definedNames>
    <definedName name="Slicer_Stock_Status">#N/A</definedName>
    <definedName name="Slicer_Suppli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4" l="1"/>
  <c r="L9" i="4"/>
  <c r="L8" i="4"/>
  <c r="L7" i="4"/>
  <c r="L6" i="4"/>
  <c r="L5" i="4"/>
  <c r="L4" i="4"/>
  <c r="B10" i="4"/>
  <c r="B9" i="4"/>
  <c r="B7" i="4"/>
  <c r="B6" i="4"/>
  <c r="B5" i="4"/>
  <c r="B4" i="4"/>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2"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2" i="3"/>
  <c r="B8" i="4" l="1"/>
</calcChain>
</file>

<file path=xl/sharedStrings.xml><?xml version="1.0" encoding="utf-8"?>
<sst xmlns="http://schemas.openxmlformats.org/spreadsheetml/2006/main" count="878" uniqueCount="179">
  <si>
    <t>Product_ID</t>
  </si>
  <si>
    <t>Product_Name</t>
  </si>
  <si>
    <t>Category</t>
  </si>
  <si>
    <t>Supplier</t>
  </si>
  <si>
    <t>Current_Stock</t>
  </si>
  <si>
    <t>Reorder_Level</t>
  </si>
  <si>
    <t>Avg_Daily_Sales</t>
  </si>
  <si>
    <t>Lead_Time_Days</t>
  </si>
  <si>
    <t>Unit_Cost</t>
  </si>
  <si>
    <t>Last_Restock_Date</t>
  </si>
  <si>
    <t>P001</t>
  </si>
  <si>
    <t>Wireless Mouse</t>
  </si>
  <si>
    <t>Electronics</t>
  </si>
  <si>
    <t>Alpha Traders</t>
  </si>
  <si>
    <t>P002</t>
  </si>
  <si>
    <t>USB Keyboard</t>
  </si>
  <si>
    <t>Bright Supply Co</t>
  </si>
  <si>
    <t>P003</t>
  </si>
  <si>
    <t>LED Bulb 9W</t>
  </si>
  <si>
    <t>Home Essentials</t>
  </si>
  <si>
    <t>Delta Wholesale</t>
  </si>
  <si>
    <t>P004</t>
  </si>
  <si>
    <t>Coffee Jar 200g</t>
  </si>
  <si>
    <t>Grocery</t>
  </si>
  <si>
    <t>Nova Imports</t>
  </si>
  <si>
    <t>P005</t>
  </si>
  <si>
    <t>Shampoo 500ml</t>
  </si>
  <si>
    <t>Personal Care</t>
  </si>
  <si>
    <t>Prime Distributors</t>
  </si>
  <si>
    <t>P006</t>
  </si>
  <si>
    <t>Notebook A5</t>
  </si>
  <si>
    <t>Stationery</t>
  </si>
  <si>
    <t>Eastline Supply</t>
  </si>
  <si>
    <t>P007</t>
  </si>
  <si>
    <t>Sanitizer 500ml</t>
  </si>
  <si>
    <t>Medical Supplies</t>
  </si>
  <si>
    <t>Zenith Traders</t>
  </si>
  <si>
    <t>P008</t>
  </si>
  <si>
    <t>Water Bottle 1L</t>
  </si>
  <si>
    <t>Urban Source</t>
  </si>
  <si>
    <t>P009</t>
  </si>
  <si>
    <t>Detergent Pack</t>
  </si>
  <si>
    <t>P010</t>
  </si>
  <si>
    <t>Face Wash 100ml</t>
  </si>
  <si>
    <t>P011</t>
  </si>
  <si>
    <t>Headphones</t>
  </si>
  <si>
    <t>P012</t>
  </si>
  <si>
    <t>Biscuits Pack</t>
  </si>
  <si>
    <t>P013</t>
  </si>
  <si>
    <t>Toothpaste</t>
  </si>
  <si>
    <t>P014</t>
  </si>
  <si>
    <t>Sticky Notes</t>
  </si>
  <si>
    <t>P015</t>
  </si>
  <si>
    <t>First Aid Kit</t>
  </si>
  <si>
    <t>P016</t>
  </si>
  <si>
    <t>Electric Kettle</t>
  </si>
  <si>
    <t>P017</t>
  </si>
  <si>
    <t>Chips Packet</t>
  </si>
  <si>
    <t>P018</t>
  </si>
  <si>
    <t>Body Lotion</t>
  </si>
  <si>
    <t>P019</t>
  </si>
  <si>
    <t>Printer Paper Pack</t>
  </si>
  <si>
    <t>P020</t>
  </si>
  <si>
    <t>Thermometer</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</si>
  <si>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</si>
  <si>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</si>
  <si>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</si>
  <si>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</si>
  <si>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</si>
  <si>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</si>
  <si>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</si>
  <si>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</si>
  <si>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</si>
  <si>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</si>
  <si>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</si>
  <si>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</si>
  <si>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</si>
  <si>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</si>
  <si>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</si>
  <si>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</si>
  <si>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</si>
  <si>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</si>
  <si>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</si>
  <si>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</si>
  <si>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</si>
  <si>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</si>
  <si>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</si>
  <si>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</si>
  <si>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</si>
  <si>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</si>
  <si>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</si>
  <si>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</si>
  <si>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</si>
  <si>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</si>
  <si>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</si>
  <si>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</si>
  <si>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</si>
  <si>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</si>
  <si>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</si>
  <si>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</si>
  <si>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</si>
  <si>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</si>
  <si>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</si>
  <si>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</si>
  <si>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</si>
  <si>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</si>
  <si>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</si>
  <si>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</si>
  <si>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</si>
  <si>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</si>
  <si>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</si>
  <si>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</si>
  <si>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</si>
  <si>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</si>
  <si>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</si>
  <si>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</si>
  <si>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</si>
  <si>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</si>
  <si>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</si>
  <si>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</si>
  <si>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</si>
  <si>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</si>
  <si>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</si>
  <si>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</si>
  <si>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</si>
  <si>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</si>
  <si>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</si>
  <si>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</si>
  <si>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</si>
  <si>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</si>
  <si>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</si>
  <si>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</si>
  <si>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</si>
  <si>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</si>
  <si>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</si>
  <si>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</si>
  <si>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</si>
  <si>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</si>
  <si>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</si>
  <si>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</si>
  <si>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</si>
  <si>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</si>
  <si>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</si>
  <si>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P0100</t>
  </si>
  <si>
    <t>Days_Stock_Left</t>
  </si>
  <si>
    <t>Reorder_Needed</t>
  </si>
  <si>
    <t>Stock_Status</t>
  </si>
  <si>
    <t>Inventory_Value</t>
  </si>
  <si>
    <t>Reorder_Quantity</t>
  </si>
  <si>
    <t>Stockout_Risk</t>
  </si>
  <si>
    <t>Value_At_Risk</t>
  </si>
  <si>
    <t>Overstock_Flag</t>
  </si>
  <si>
    <t>Critical</t>
  </si>
  <si>
    <t>Low</t>
  </si>
  <si>
    <t>Safe</t>
  </si>
  <si>
    <t>Stock Status</t>
  </si>
  <si>
    <t>Number of Products</t>
  </si>
  <si>
    <t>Risky Products</t>
  </si>
  <si>
    <t>Top Risky Suppliers</t>
  </si>
  <si>
    <t>Overall Stock Status</t>
  </si>
  <si>
    <t>Category-wise Stock Risk</t>
  </si>
  <si>
    <t>Stock Count</t>
  </si>
  <si>
    <t>Inventory KPI Summary</t>
  </si>
  <si>
    <t>Metrix</t>
  </si>
  <si>
    <t>Value</t>
  </si>
  <si>
    <t>Total Products</t>
  </si>
  <si>
    <t>Critical Items</t>
  </si>
  <si>
    <t>Low Stock Items</t>
  </si>
  <si>
    <t>Safe Items</t>
  </si>
  <si>
    <t>% Critical</t>
  </si>
  <si>
    <t>Total Inventory Value</t>
  </si>
  <si>
    <t>Avg  Days of Stock</t>
  </si>
  <si>
    <t>Product Lookup</t>
  </si>
  <si>
    <t>Enter Product ID</t>
  </si>
  <si>
    <t>Product Name</t>
  </si>
  <si>
    <t>Current Stock</t>
  </si>
  <si>
    <t>Reorder Needed</t>
  </si>
  <si>
    <t>Reorder Quantity</t>
  </si>
  <si>
    <t>type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</si>
</sst>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73" formatCode="_ &quot;₹&quot;\ * #,##0_ ;_ &quot;₹&quot;\ * \-#,##0_ ;_ &quot;₹&quot;\ * &quot;-&quot;??_ ;_ @_ "/>
  </numFmts>
  <fonts count="5" x14ac:knownFonts="1">
    <font>
      <sz val="11"/>
      <color theme="1"/>
      <name val="Aptos Narrow"/>
      <family val="2"/>
      <scheme val="minor"/>
    </font>
    <font>
      <sz val="8"/>
      <name val="Aptos Narrow"/>
      <family val="2"/>
      <scheme val="minor"/>
    </font>
    <font>
      <b/>
      <sz val="16"/>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applyAlignment="1">
      <alignment horizontal="left"/>
    </xf>
    <xf numFmtId="0" fontId="2" fillId="0" borderId="0" xfId="0" applyFont="1" applyAlignment="1">
      <alignment horizontal="center"/>
    </xf>
    <xf numFmtId="0" fontId="2" fillId="0" borderId="0" xfId="0" applyFont="1"/>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horizontal="left" vertical="top"/>
    </xf>
    <xf numFmtId="0" fontId="3" fillId="0" borderId="1" xfId="0" applyFont="1" applyBorder="1" applyAlignment="1"/>
    <xf numFmtId="9" fontId="3" fillId="0" borderId="1" xfId="0" applyNumberFormat="1" applyFont="1" applyBorder="1" applyAlignment="1"/>
    <xf numFmtId="173" fontId="3" fillId="0" borderId="1" xfId="0" applyNumberFormat="1" applyFont="1" applyBorder="1" applyAlignment="1"/>
    <xf numFmtId="2" fontId="3" fillId="0" borderId="1" xfId="0" applyNumberFormat="1" applyFont="1" applyBorder="1" applyAlignment="1"/>
    <xf numFmtId="0" fontId="0" fillId="0" borderId="1" xfId="0" applyBorder="1"/>
    <xf numFmtId="0" fontId="0" fillId="0" borderId="1" xfId="0" applyBorder="1" applyAlignment="1">
      <alignment horizontal="left" vertical="top"/>
    </xf>
    <xf numFmtId="0" fontId="4" fillId="2" borderId="1" xfId="0" applyFont="1" applyFill="1" applyBorder="1"/>
    <xf numFmtId="0" fontId="0" fillId="0" borderId="1" xfId="0" pivotButton="1" applyBorder="1"/>
    <xf numFmtId="0" fontId="0" fillId="0" borderId="1" xfId="0" pivotButton="1" applyBorder="1" applyAlignment="1">
      <alignment horizontal="left"/>
    </xf>
    <xf numFmtId="0" fontId="0" fillId="0" borderId="1" xfId="0" applyBorder="1" applyAlignment="1">
      <alignment horizontal="left"/>
    </xf>
    <xf numFmtId="0" fontId="0" fillId="0" borderId="1" xfId="0" applyBorder="1" applyAlignment="1">
      <alignment horizontal="center" vertical="top"/>
    </xf>
    <xf numFmtId="0" fontId="0" fillId="0" borderId="1" xfId="0" applyBorder="1" applyAlignment="1">
      <alignment horizontal="center"/>
    </xf>
  </cellXfs>
  <cellStyles count="1">
    <cellStyle name="Normal" xfId="0" builtinId="0"/>
  </cellStyles>
  <dxfs count="4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left"/>
    </dxf>
    <dxf>
      <alignment vertical="top"/>
    </dxf>
    <dxf>
      <alignment horizontal="center"/>
    </dxf>
    <dxf>
      <alignment horizontal="left"/>
    </dxf>
    <dxf>
      <alignment horizontal="left"/>
    </dxf>
    <dxf>
      <alignment horizontal="general"/>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473529</xdr:colOff>
      <xdr:row>14</xdr:row>
      <xdr:rowOff>15240</xdr:rowOff>
    </xdr:from>
    <xdr:to>
      <xdr:col>4</xdr:col>
      <xdr:colOff>2119449</xdr:colOff>
      <xdr:row>26</xdr:row>
      <xdr:rowOff>160020</xdr:rowOff>
    </xdr:to>
    <mc:AlternateContent xmlns:mc="http://schemas.openxmlformats.org/markup-compatibility/2006">
      <mc:Choice xmlns:a14="http://schemas.microsoft.com/office/drawing/2010/main" Requires="a14">
        <xdr:graphicFrame macro="">
          <xdr:nvGraphicFramePr>
            <xdr:cNvPr id="2" name="Supplier">
              <a:extLst>
                <a:ext uri="{FF2B5EF4-FFF2-40B4-BE49-F238E27FC236}">
                  <a16:creationId xmlns:a16="http://schemas.microsoft.com/office/drawing/2014/main" id="{8AA386FE-AE51-497E-1162-7A06704A71C4}"/>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4990445" y="2751095"/>
              <a:ext cx="1645920" cy="243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180702</xdr:colOff>
      <xdr:row>14</xdr:row>
      <xdr:rowOff>12096</xdr:rowOff>
    </xdr:from>
    <xdr:to>
      <xdr:col>7</xdr:col>
      <xdr:colOff>411237</xdr:colOff>
      <xdr:row>26</xdr:row>
      <xdr:rowOff>169333</xdr:rowOff>
    </xdr:to>
    <mc:AlternateContent xmlns:mc="http://schemas.openxmlformats.org/markup-compatibility/2006">
      <mc:Choice xmlns:a14="http://schemas.microsoft.com/office/drawing/2010/main" Requires="a14">
        <xdr:graphicFrame macro="">
          <xdr:nvGraphicFramePr>
            <xdr:cNvPr id="3" name="Stock_Status">
              <a:extLst>
                <a:ext uri="{FF2B5EF4-FFF2-40B4-BE49-F238E27FC236}">
                  <a16:creationId xmlns:a16="http://schemas.microsoft.com/office/drawing/2014/main" id="{71D233B1-3C98-F292-5F23-27CBAC69BBD9}"/>
                </a:ext>
              </a:extLst>
            </xdr:cNvPr>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dr:sp macro="" textlink="">
          <xdr:nvSpPr>
            <xdr:cNvPr id="0" name=""/>
            <xdr:cNvSpPr>
              <a:spLocks noTextEdit="1"/>
            </xdr:cNvSpPr>
          </xdr:nvSpPr>
          <xdr:spPr>
            <a:xfrm>
              <a:off x="6992798" y="2747951"/>
              <a:ext cx="1598463" cy="2443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RIKA D" refreshedDate="46127.634003356485" createdVersion="8" refreshedVersion="8" minRefreshableVersion="3" recordCount="100" xr:uid="{DE8CEC85-F69B-41E4-8A3C-B4AB7A74EED4}">
  <cacheSource type="worksheet">
    <worksheetSource name="tblCalc"/>
  </cacheSource>
  <cacheFields count="18">
    <cacheField name="Product_ID" numFmtId="0">
      <sharedItems/>
    </cacheField>
    <cacheField name="Product_Name" numFmtId="0">
      <sharedItems/>
    </cacheField>
    <cacheField name="Category" numFmtId="0">
      <sharedItems count="6">
        <s v="Electronics"/>
        <s v="Home Essentials"/>
        <s v="Grocery"/>
        <s v="Personal Care"/>
        <s v="Stationery"/>
        <s v="Medical Supplies"/>
      </sharedItems>
    </cacheField>
    <cacheField name="Supplier" numFmtId="0">
      <sharedItems count="8">
        <s v="Alpha Traders"/>
        <s v="Bright Supply Co"/>
        <s v="Prime Distributors"/>
        <s v="Nova Imports"/>
        <s v="Eastline Supply"/>
        <s v="Zenith Traders"/>
        <s v="Urban Source"/>
        <s v="Delta Wholesale"/>
      </sharedItems>
    </cacheField>
    <cacheField name="Current_Stock" numFmtId="0">
      <sharedItems containsSemiMixedTypes="0" containsString="0" containsNumber="1" containsInteger="1" minValue="10" maxValue="310"/>
    </cacheField>
    <cacheField name="Reorder_Level" numFmtId="0">
      <sharedItems containsSemiMixedTypes="0" containsString="0" containsNumber="1" containsInteger="1" minValue="13" maxValue="292"/>
    </cacheField>
    <cacheField name="Avg_Daily_Sales" numFmtId="0">
      <sharedItems containsSemiMixedTypes="0" containsString="0" containsNumber="1" containsInteger="1" minValue="2" maxValue="284"/>
    </cacheField>
    <cacheField name="Lead_Time_Days" numFmtId="0">
      <sharedItems containsSemiMixedTypes="0" containsString="0" containsNumber="1" containsInteger="1" minValue="3" maxValue="300"/>
    </cacheField>
    <cacheField name="Unit_Cost" numFmtId="0">
      <sharedItems containsSemiMixedTypes="0" containsString="0" containsNumber="1" containsInteger="1" minValue="20" maxValue="1500"/>
    </cacheField>
    <cacheField name="Last_Restock_Date" numFmtId="14">
      <sharedItems containsSemiMixedTypes="0" containsNonDate="0" containsDate="1" containsString="0" minDate="2026-02-10T00:00:00" maxDate="2026-03-07T00:00:00"/>
    </cacheField>
    <cacheField name="Days_Stock_Left" numFmtId="0">
      <sharedItems containsSemiMixedTypes="0" containsString="0" containsNumber="1" minValue="5.2910052910052907E-2" maxValue="155"/>
    </cacheField>
    <cacheField name="Reorder_Needed" numFmtId="0">
      <sharedItems/>
    </cacheField>
    <cacheField name="Stock_Status" numFmtId="0">
      <sharedItems count="3">
        <s v="Safe"/>
        <s v="Critical"/>
        <s v="Low"/>
      </sharedItems>
    </cacheField>
    <cacheField name="Inventory_Value" numFmtId="0">
      <sharedItems containsSemiMixedTypes="0" containsString="0" containsNumber="1" containsInteger="1" minValue="750" maxValue="450000"/>
    </cacheField>
    <cacheField name="Reorder_Quantity" numFmtId="0">
      <sharedItems containsSemiMixedTypes="0" containsString="0" containsNumber="1" containsInteger="1" minValue="0" maxValue="74428"/>
    </cacheField>
    <cacheField name="Stockout_Risk" numFmtId="0">
      <sharedItems/>
    </cacheField>
    <cacheField name="Value_At_Risk" numFmtId="0">
      <sharedItems containsSemiMixedTypes="0" containsString="0" containsNumber="1" containsInteger="1" minValue="0" maxValue="328800"/>
    </cacheField>
    <cacheField name="Overstock_Flag" numFmtId="0">
      <sharedItems/>
    </cacheField>
  </cacheFields>
  <extLst>
    <ext xmlns:x14="http://schemas.microsoft.com/office/spreadsheetml/2009/9/main" uri="{725AE2AE-9491-48be-B2B4-4EB974FC3084}">
      <x14:pivotCacheDefinition pivotCacheId="1387295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001"/>
    <s v="Wireless Mouse"/>
    <x v="0"/>
    <x v="0"/>
    <n v="120"/>
    <n v="50"/>
    <n v="8"/>
    <n v="7"/>
    <n v="800"/>
    <d v="2026-02-10T00:00:00"/>
    <n v="15"/>
    <s v="No"/>
    <x v="0"/>
    <n v="96000"/>
    <n v="0"/>
    <s v="Low"/>
    <n v="0"/>
    <s v="No"/>
  </r>
  <r>
    <s v="P002"/>
    <s v="USB Keyboard"/>
    <x v="0"/>
    <x v="1"/>
    <n v="60"/>
    <n v="40"/>
    <n v="6"/>
    <n v="5"/>
    <n v="900"/>
    <d v="2026-02-18T00:00:00"/>
    <n v="10"/>
    <s v="No"/>
    <x v="0"/>
    <n v="54000"/>
    <n v="12"/>
    <s v="Low"/>
    <n v="0"/>
    <s v="No"/>
  </r>
  <r>
    <s v="P003"/>
    <s v="LED Bulb 9W"/>
    <x v="1"/>
    <x v="2"/>
    <n v="200"/>
    <n v="80"/>
    <n v="15"/>
    <n v="4"/>
    <n v="120"/>
    <d v="2026-03-01T00:00:00"/>
    <n v="13.333333333333334"/>
    <s v="No"/>
    <x v="0"/>
    <n v="24000"/>
    <n v="0"/>
    <s v="Low"/>
    <n v="0"/>
    <s v="No"/>
  </r>
  <r>
    <s v="P004"/>
    <s v="Coffee Jar 200g"/>
    <x v="2"/>
    <x v="3"/>
    <n v="40"/>
    <n v="60"/>
    <n v="10"/>
    <n v="6"/>
    <n v="250"/>
    <d v="2026-02-25T00:00:00"/>
    <n v="4"/>
    <s v="Yes"/>
    <x v="1"/>
    <n v="10000"/>
    <n v="90"/>
    <s v="High"/>
    <n v="10000"/>
    <s v="No"/>
  </r>
  <r>
    <s v="P005"/>
    <s v="Shampoo 500ml"/>
    <x v="3"/>
    <x v="2"/>
    <n v="90"/>
    <n v="50"/>
    <n v="12"/>
    <n v="8"/>
    <n v="300"/>
    <d v="2026-02-15T00:00:00"/>
    <n v="7.5"/>
    <s v="No"/>
    <x v="2"/>
    <n v="27000"/>
    <n v="90"/>
    <s v="High"/>
    <n v="27000"/>
    <s v="No"/>
  </r>
  <r>
    <s v="P006"/>
    <s v="Notebook A5"/>
    <x v="4"/>
    <x v="4"/>
    <n v="300"/>
    <n v="100"/>
    <n v="20"/>
    <n v="3"/>
    <n v="50"/>
    <d v="2026-03-05T00:00:00"/>
    <n v="15"/>
    <s v="No"/>
    <x v="0"/>
    <n v="15000"/>
    <n v="0"/>
    <s v="Low"/>
    <n v="0"/>
    <s v="No"/>
  </r>
  <r>
    <s v="P007"/>
    <s v="Sanitizer 500ml"/>
    <x v="5"/>
    <x v="5"/>
    <n v="35"/>
    <n v="50"/>
    <n v="9"/>
    <n v="10"/>
    <n v="150"/>
    <d v="2026-02-20T00:00:00"/>
    <n v="3.8888888888888888"/>
    <s v="Yes"/>
    <x v="1"/>
    <n v="5250"/>
    <n v="118"/>
    <s v="High"/>
    <n v="5250"/>
    <s v="No"/>
  </r>
  <r>
    <s v="P008"/>
    <s v="Water Bottle 1L"/>
    <x v="1"/>
    <x v="6"/>
    <n v="180"/>
    <n v="70"/>
    <n v="11"/>
    <n v="6"/>
    <n v="200"/>
    <d v="2026-03-02T00:00:00"/>
    <n v="16.363636363636363"/>
    <s v="No"/>
    <x v="0"/>
    <n v="36000"/>
    <n v="0"/>
    <s v="Low"/>
    <n v="0"/>
    <s v="No"/>
  </r>
  <r>
    <s v="P009"/>
    <s v="Detergent Pack"/>
    <x v="2"/>
    <x v="2"/>
    <n v="75"/>
    <n v="60"/>
    <n v="14"/>
    <n v="7"/>
    <n v="180"/>
    <d v="2026-02-22T00:00:00"/>
    <n v="5.3571428571428568"/>
    <s v="No"/>
    <x v="2"/>
    <n v="13500"/>
    <n v="121"/>
    <s v="High"/>
    <n v="13500"/>
    <s v="No"/>
  </r>
  <r>
    <s v="P010"/>
    <s v="Face Wash 100ml"/>
    <x v="3"/>
    <x v="1"/>
    <n v="55"/>
    <n v="40"/>
    <n v="7"/>
    <n v="5"/>
    <n v="220"/>
    <d v="2026-02-28T00:00:00"/>
    <n v="7.8571428571428568"/>
    <s v="No"/>
    <x v="2"/>
    <n v="12100"/>
    <n v="29"/>
    <s v="Medium"/>
    <n v="12100"/>
    <s v="No"/>
  </r>
  <r>
    <s v="P011"/>
    <s v="Headphones"/>
    <x v="0"/>
    <x v="7"/>
    <n v="45"/>
    <n v="50"/>
    <n v="5"/>
    <n v="9"/>
    <n v="1500"/>
    <d v="2026-02-12T00:00:00"/>
    <n v="9"/>
    <s v="Yes"/>
    <x v="1"/>
    <n v="67500"/>
    <n v="35"/>
    <s v="Medium"/>
    <n v="67500"/>
    <s v="No"/>
  </r>
  <r>
    <s v="P012"/>
    <s v="Biscuits Pack"/>
    <x v="2"/>
    <x v="5"/>
    <n v="220"/>
    <n v="100"/>
    <n v="25"/>
    <n v="4"/>
    <n v="30"/>
    <d v="2026-03-03T00:00:00"/>
    <n v="8.8000000000000007"/>
    <s v="No"/>
    <x v="0"/>
    <n v="6600"/>
    <n v="55"/>
    <s v="Low"/>
    <n v="0"/>
    <s v="No"/>
  </r>
  <r>
    <s v="P013"/>
    <s v="Toothpaste"/>
    <x v="3"/>
    <x v="6"/>
    <n v="130"/>
    <n v="60"/>
    <n v="18"/>
    <n v="6"/>
    <n v="90"/>
    <d v="2026-02-17T00:00:00"/>
    <n v="7.2222222222222223"/>
    <s v="No"/>
    <x v="2"/>
    <n v="11700"/>
    <n v="104"/>
    <s v="Medium"/>
    <n v="11700"/>
    <s v="No"/>
  </r>
  <r>
    <s v="P014"/>
    <s v="Sticky Notes"/>
    <x v="4"/>
    <x v="4"/>
    <n v="250"/>
    <n v="120"/>
    <n v="16"/>
    <n v="3"/>
    <n v="40"/>
    <d v="2026-03-06T00:00:00"/>
    <n v="15.625"/>
    <s v="No"/>
    <x v="0"/>
    <n v="10000"/>
    <n v="0"/>
    <s v="Low"/>
    <n v="0"/>
    <s v="No"/>
  </r>
  <r>
    <s v="P015"/>
    <s v="First Aid Kit"/>
    <x v="5"/>
    <x v="5"/>
    <n v="20"/>
    <n v="40"/>
    <n v="4"/>
    <n v="12"/>
    <n v="500"/>
    <d v="2026-02-19T00:00:00"/>
    <n v="5"/>
    <s v="Yes"/>
    <x v="1"/>
    <n v="10000"/>
    <n v="56"/>
    <s v="High"/>
    <n v="10000"/>
    <s v="No"/>
  </r>
  <r>
    <s v="P016"/>
    <s v="Electric Kettle"/>
    <x v="1"/>
    <x v="6"/>
    <n v="30"/>
    <n v="50"/>
    <n v="3"/>
    <n v="10"/>
    <n v="1200"/>
    <d v="2026-02-14T00:00:00"/>
    <n v="10"/>
    <s v="Yes"/>
    <x v="1"/>
    <n v="36000"/>
    <n v="21"/>
    <s v="Medium"/>
    <n v="36000"/>
    <s v="No"/>
  </r>
  <r>
    <s v="P017"/>
    <s v="Chips Packet"/>
    <x v="2"/>
    <x v="0"/>
    <n v="140"/>
    <n v="80"/>
    <n v="22"/>
    <n v="5"/>
    <n v="20"/>
    <d v="2026-03-01T00:00:00"/>
    <n v="6.3636363636363633"/>
    <s v="No"/>
    <x v="2"/>
    <n v="2800"/>
    <n v="124"/>
    <s v="Medium"/>
    <n v="2800"/>
    <s v="No"/>
  </r>
  <r>
    <s v="P018"/>
    <s v="Body Lotion"/>
    <x v="3"/>
    <x v="1"/>
    <n v="85"/>
    <n v="50"/>
    <n v="10"/>
    <n v="7"/>
    <n v="350"/>
    <d v="2026-02-23T00:00:00"/>
    <n v="8.5"/>
    <s v="No"/>
    <x v="2"/>
    <n v="29750"/>
    <n v="55"/>
    <s v="Medium"/>
    <n v="29750"/>
    <s v="No"/>
  </r>
  <r>
    <s v="P019"/>
    <s v="Printer Paper Pack"/>
    <x v="4"/>
    <x v="4"/>
    <n v="160"/>
    <n v="90"/>
    <n v="19"/>
    <n v="4"/>
    <n v="300"/>
    <d v="2026-03-04T00:00:00"/>
    <n v="8.4210526315789469"/>
    <s v="No"/>
    <x v="0"/>
    <n v="48000"/>
    <n v="49"/>
    <s v="Low"/>
    <n v="0"/>
    <s v="No"/>
  </r>
  <r>
    <s v="P020"/>
    <s v="Thermometer"/>
    <x v="5"/>
    <x v="3"/>
    <n v="25"/>
    <n v="40"/>
    <n v="5"/>
    <n v="11"/>
    <n v="250"/>
    <d v="2026-02-16T00:00:00"/>
    <n v="5"/>
    <s v="Yes"/>
    <x v="1"/>
    <n v="6250"/>
    <n v="65"/>
    <s v="High"/>
    <n v="6250"/>
    <s v="No"/>
  </r>
  <r>
    <s v="P021"/>
    <s v="Wireless Mouse"/>
    <x v="0"/>
    <x v="0"/>
    <n v="253"/>
    <n v="44"/>
    <n v="253"/>
    <n v="104"/>
    <n v="800"/>
    <d v="2026-02-10T00:00:00"/>
    <n v="1"/>
    <s v="No"/>
    <x v="2"/>
    <n v="202400"/>
    <n v="27830"/>
    <s v="High"/>
    <n v="202400"/>
    <s v="No"/>
  </r>
  <r>
    <s v="P022"/>
    <s v="USB Keyboard"/>
    <x v="0"/>
    <x v="1"/>
    <n v="110"/>
    <n v="148"/>
    <n v="92"/>
    <n v="143"/>
    <n v="900"/>
    <d v="2026-02-18T00:00:00"/>
    <n v="1.1956521739130435"/>
    <s v="Yes"/>
    <x v="1"/>
    <n v="99000"/>
    <n v="13690"/>
    <s v="High"/>
    <n v="99000"/>
    <s v="No"/>
  </r>
  <r>
    <s v="P023"/>
    <s v="LED Bulb 9W"/>
    <x v="1"/>
    <x v="7"/>
    <n v="82"/>
    <n v="66"/>
    <n v="284"/>
    <n v="141"/>
    <n v="120"/>
    <d v="2026-03-01T00:00:00"/>
    <n v="0.28873239436619719"/>
    <s v="No"/>
    <x v="2"/>
    <n v="9840"/>
    <n v="41950"/>
    <s v="High"/>
    <n v="9840"/>
    <s v="No"/>
  </r>
  <r>
    <s v="P024"/>
    <s v="Coffee Jar 200g"/>
    <x v="2"/>
    <x v="3"/>
    <n v="102"/>
    <n v="128"/>
    <n v="162"/>
    <n v="286"/>
    <n v="250"/>
    <d v="2026-02-25T00:00:00"/>
    <n v="0.62962962962962965"/>
    <s v="Yes"/>
    <x v="1"/>
    <n v="25500"/>
    <n v="47364"/>
    <s v="High"/>
    <n v="25500"/>
    <s v="No"/>
  </r>
  <r>
    <s v="P025"/>
    <s v="Shampoo 500ml"/>
    <x v="3"/>
    <x v="2"/>
    <n v="213"/>
    <n v="225"/>
    <n v="129"/>
    <n v="123"/>
    <n v="300"/>
    <d v="2026-02-15T00:00:00"/>
    <n v="1.6511627906976745"/>
    <s v="Yes"/>
    <x v="1"/>
    <n v="63900"/>
    <n v="16557"/>
    <s v="High"/>
    <n v="63900"/>
    <s v="No"/>
  </r>
  <r>
    <s v="P026"/>
    <s v="Notebook A5"/>
    <x v="4"/>
    <x v="6"/>
    <n v="274"/>
    <n v="112"/>
    <n v="244"/>
    <n v="287"/>
    <n v="50"/>
    <d v="2026-03-05T00:00:00"/>
    <n v="1.1229508196721312"/>
    <s v="No"/>
    <x v="2"/>
    <n v="13700"/>
    <n v="71462"/>
    <s v="High"/>
    <n v="13700"/>
    <s v="No"/>
  </r>
  <r>
    <s v="P027"/>
    <s v="Sanitizer 500ml"/>
    <x v="5"/>
    <x v="5"/>
    <n v="210"/>
    <n v="17"/>
    <n v="92"/>
    <n v="198"/>
    <n v="150"/>
    <d v="2026-02-20T00:00:00"/>
    <n v="2.2826086956521738"/>
    <s v="No"/>
    <x v="2"/>
    <n v="31500"/>
    <n v="18650"/>
    <s v="High"/>
    <n v="31500"/>
    <s v="No"/>
  </r>
  <r>
    <s v="P028"/>
    <s v="Water Bottle 1L"/>
    <x v="1"/>
    <x v="5"/>
    <n v="240"/>
    <n v="139"/>
    <n v="200"/>
    <n v="79"/>
    <n v="200"/>
    <d v="2026-03-02T00:00:00"/>
    <n v="1.2"/>
    <s v="No"/>
    <x v="2"/>
    <n v="48000"/>
    <n v="16960"/>
    <s v="High"/>
    <n v="48000"/>
    <s v="No"/>
  </r>
  <r>
    <s v="P029"/>
    <s v="Detergent Pack"/>
    <x v="2"/>
    <x v="3"/>
    <n v="30"/>
    <n v="60"/>
    <n v="8"/>
    <n v="7"/>
    <n v="180"/>
    <d v="2026-02-22T00:00:00"/>
    <n v="3.75"/>
    <s v="Yes"/>
    <x v="1"/>
    <n v="5400"/>
    <n v="82"/>
    <s v="High"/>
    <n v="5400"/>
    <s v="No"/>
  </r>
  <r>
    <s v="P030"/>
    <s v="Face Wash 100ml"/>
    <x v="3"/>
    <x v="1"/>
    <n v="25"/>
    <n v="50"/>
    <n v="5"/>
    <n v="15"/>
    <n v="220"/>
    <d v="2026-02-28T00:00:00"/>
    <n v="5"/>
    <s v="Yes"/>
    <x v="1"/>
    <n v="5500"/>
    <n v="85"/>
    <s v="High"/>
    <n v="5500"/>
    <s v="No"/>
  </r>
  <r>
    <s v="P031"/>
    <s v="Headphones"/>
    <x v="0"/>
    <x v="7"/>
    <n v="300"/>
    <n v="80"/>
    <n v="2"/>
    <n v="5"/>
    <n v="1500"/>
    <d v="2026-02-12T00:00:00"/>
    <n v="150"/>
    <s v="No"/>
    <x v="0"/>
    <n v="450000"/>
    <n v="0"/>
    <s v="Low"/>
    <n v="0"/>
    <s v="Yes"/>
  </r>
  <r>
    <s v="P032"/>
    <s v="Biscuits Pack"/>
    <x v="2"/>
    <x v="5"/>
    <n v="200"/>
    <n v="70"/>
    <n v="6"/>
    <n v="4"/>
    <n v="30"/>
    <d v="2026-03-03T00:00:00"/>
    <n v="33.333333333333336"/>
    <s v="No"/>
    <x v="0"/>
    <n v="6000"/>
    <n v="0"/>
    <s v="Low"/>
    <n v="0"/>
    <s v="No"/>
  </r>
  <r>
    <s v="P033"/>
    <s v="Toothpaste"/>
    <x v="3"/>
    <x v="2"/>
    <n v="277"/>
    <n v="135"/>
    <n v="137"/>
    <n v="290"/>
    <n v="90"/>
    <d v="2026-02-17T00:00:00"/>
    <n v="2.0218978102189782"/>
    <s v="No"/>
    <x v="2"/>
    <n v="24930"/>
    <n v="40412"/>
    <s v="High"/>
    <n v="24930"/>
    <s v="No"/>
  </r>
  <r>
    <s v="P034"/>
    <s v="Sticky Notes"/>
    <x v="4"/>
    <x v="4"/>
    <n v="171"/>
    <n v="153"/>
    <n v="216"/>
    <n v="189"/>
    <n v="40"/>
    <d v="2026-03-06T00:00:00"/>
    <n v="0.79166666666666663"/>
    <s v="No"/>
    <x v="2"/>
    <n v="6840"/>
    <n v="42165"/>
    <s v="High"/>
    <n v="6840"/>
    <s v="No"/>
  </r>
  <r>
    <s v="P035"/>
    <s v="First Aid Kit"/>
    <x v="5"/>
    <x v="5"/>
    <n v="53"/>
    <n v="250"/>
    <n v="260"/>
    <n v="88"/>
    <n v="500"/>
    <d v="2026-02-19T00:00:00"/>
    <n v="0.20384615384615384"/>
    <s v="Yes"/>
    <x v="1"/>
    <n v="26500"/>
    <n v="24647"/>
    <s v="High"/>
    <n v="26500"/>
    <s v="No"/>
  </r>
  <r>
    <s v="P036"/>
    <s v="Electric Kettle"/>
    <x v="1"/>
    <x v="7"/>
    <n v="166"/>
    <n v="264"/>
    <n v="159"/>
    <n v="216"/>
    <n v="1200"/>
    <d v="2026-02-14T00:00:00"/>
    <n v="1.0440251572327044"/>
    <s v="Yes"/>
    <x v="1"/>
    <n v="199200"/>
    <n v="35291"/>
    <s v="High"/>
    <n v="199200"/>
    <s v="No"/>
  </r>
  <r>
    <s v="P037"/>
    <s v="Chips Packet"/>
    <x v="2"/>
    <x v="0"/>
    <n v="70"/>
    <n v="252"/>
    <n v="148"/>
    <n v="204"/>
    <n v="20"/>
    <d v="2026-03-01T00:00:00"/>
    <n v="0.47297297297297297"/>
    <s v="Yes"/>
    <x v="1"/>
    <n v="1400"/>
    <n v="31158"/>
    <s v="High"/>
    <n v="1400"/>
    <s v="No"/>
  </r>
  <r>
    <s v="P038"/>
    <s v="Body Lotion"/>
    <x v="3"/>
    <x v="1"/>
    <n v="219"/>
    <n v="196"/>
    <n v="96"/>
    <n v="24"/>
    <n v="350"/>
    <d v="2026-02-23T00:00:00"/>
    <n v="2.28125"/>
    <s v="No"/>
    <x v="2"/>
    <n v="76650"/>
    <n v="2757"/>
    <s v="High"/>
    <n v="76650"/>
    <s v="No"/>
  </r>
  <r>
    <s v="P039"/>
    <s v="Printer Paper Pack"/>
    <x v="4"/>
    <x v="2"/>
    <n v="138"/>
    <n v="212"/>
    <n v="88"/>
    <n v="274"/>
    <n v="300"/>
    <d v="2026-03-04T00:00:00"/>
    <n v="1.5681818181818181"/>
    <s v="Yes"/>
    <x v="1"/>
    <n v="41400"/>
    <n v="24590"/>
    <s v="High"/>
    <n v="41400"/>
    <s v="No"/>
  </r>
  <r>
    <s v="P040"/>
    <s v="Thermometer"/>
    <x v="5"/>
    <x v="1"/>
    <n v="132"/>
    <n v="42"/>
    <n v="91"/>
    <n v="19"/>
    <n v="250"/>
    <d v="2026-02-16T00:00:00"/>
    <n v="1.4505494505494505"/>
    <s v="No"/>
    <x v="2"/>
    <n v="33000"/>
    <n v="2234"/>
    <s v="High"/>
    <n v="33000"/>
    <s v="No"/>
  </r>
  <r>
    <s v="P041"/>
    <s v="Wireless Mouse"/>
    <x v="0"/>
    <x v="3"/>
    <n v="10"/>
    <n v="183"/>
    <n v="189"/>
    <n v="119"/>
    <n v="800"/>
    <d v="2026-02-10T00:00:00"/>
    <n v="5.2910052910052907E-2"/>
    <s v="Yes"/>
    <x v="1"/>
    <n v="8000"/>
    <n v="23804"/>
    <s v="High"/>
    <n v="8000"/>
    <s v="No"/>
  </r>
  <r>
    <s v="P042"/>
    <s v="USB Keyboard"/>
    <x v="0"/>
    <x v="2"/>
    <n v="270"/>
    <n v="75"/>
    <n v="253"/>
    <n v="241"/>
    <n v="900"/>
    <d v="2026-02-18T00:00:00"/>
    <n v="1.0671936758893281"/>
    <s v="No"/>
    <x v="2"/>
    <n v="243000"/>
    <n v="62474"/>
    <s v="High"/>
    <n v="243000"/>
    <s v="No"/>
  </r>
  <r>
    <s v="P043"/>
    <s v="LED Bulb 9W"/>
    <x v="1"/>
    <x v="7"/>
    <n v="133"/>
    <n v="232"/>
    <n v="102"/>
    <n v="187"/>
    <n v="120"/>
    <d v="2026-03-01T00:00:00"/>
    <n v="1.303921568627451"/>
    <s v="Yes"/>
    <x v="1"/>
    <n v="15960"/>
    <n v="19655"/>
    <s v="High"/>
    <n v="15960"/>
    <s v="No"/>
  </r>
  <r>
    <s v="P044"/>
    <s v="Coffee Jar 200g"/>
    <x v="2"/>
    <x v="3"/>
    <n v="35"/>
    <n v="70"/>
    <n v="9"/>
    <n v="6"/>
    <n v="250"/>
    <d v="2026-02-25T00:00:00"/>
    <n v="3.8888888888888888"/>
    <s v="Yes"/>
    <x v="1"/>
    <n v="8750"/>
    <n v="82"/>
    <s v="High"/>
    <n v="8750"/>
    <s v="No"/>
  </r>
  <r>
    <s v="P045"/>
    <s v="Shampoo 500ml"/>
    <x v="3"/>
    <x v="2"/>
    <n v="20"/>
    <n v="45"/>
    <n v="4"/>
    <n v="14"/>
    <n v="300"/>
    <d v="2026-02-15T00:00:00"/>
    <n v="5"/>
    <s v="Yes"/>
    <x v="1"/>
    <n v="6000"/>
    <n v="64"/>
    <s v="High"/>
    <n v="6000"/>
    <s v="No"/>
  </r>
  <r>
    <s v="P046"/>
    <s v="Notebook A5"/>
    <x v="4"/>
    <x v="4"/>
    <n v="280"/>
    <n v="75"/>
    <n v="7"/>
    <n v="4"/>
    <n v="50"/>
    <d v="2026-03-05T00:00:00"/>
    <n v="40"/>
    <s v="No"/>
    <x v="0"/>
    <n v="14000"/>
    <n v="0"/>
    <s v="Low"/>
    <n v="0"/>
    <s v="No"/>
  </r>
  <r>
    <s v="P047"/>
    <s v="Sanitizer 500ml"/>
    <x v="5"/>
    <x v="5"/>
    <n v="162"/>
    <n v="183"/>
    <n v="124"/>
    <n v="184"/>
    <n v="150"/>
    <d v="2026-02-20T00:00:00"/>
    <n v="1.3064516129032258"/>
    <s v="Yes"/>
    <x v="1"/>
    <n v="24300"/>
    <n v="23522"/>
    <s v="High"/>
    <n v="24300"/>
    <s v="No"/>
  </r>
  <r>
    <s v="P048"/>
    <s v="Water Bottle 1L"/>
    <x v="1"/>
    <x v="6"/>
    <n v="160"/>
    <n v="245"/>
    <n v="179"/>
    <n v="88"/>
    <n v="200"/>
    <d v="2026-03-02T00:00:00"/>
    <n v="0.8938547486033519"/>
    <s v="Yes"/>
    <x v="1"/>
    <n v="32000"/>
    <n v="16845"/>
    <s v="High"/>
    <n v="32000"/>
    <s v="No"/>
  </r>
  <r>
    <s v="P049"/>
    <s v="Detergent Pack"/>
    <x v="2"/>
    <x v="5"/>
    <n v="162"/>
    <n v="146"/>
    <n v="57"/>
    <n v="232"/>
    <n v="180"/>
    <d v="2026-02-22T00:00:00"/>
    <n v="2.8421052631578947"/>
    <s v="No"/>
    <x v="2"/>
    <n v="29160"/>
    <n v="13461"/>
    <s v="High"/>
    <n v="29160"/>
    <s v="No"/>
  </r>
  <r>
    <s v="P050"/>
    <s v="Face Wash 100ml"/>
    <x v="3"/>
    <x v="1"/>
    <n v="98"/>
    <n v="173"/>
    <n v="217"/>
    <n v="73"/>
    <n v="220"/>
    <d v="2026-02-28T00:00:00"/>
    <n v="0.45161290322580644"/>
    <s v="Yes"/>
    <x v="1"/>
    <n v="21560"/>
    <n v="17262"/>
    <s v="High"/>
    <n v="21560"/>
    <s v="No"/>
  </r>
  <r>
    <s v="P051"/>
    <s v="Headphones"/>
    <x v="0"/>
    <x v="7"/>
    <n v="58"/>
    <n v="94"/>
    <n v="83"/>
    <n v="98"/>
    <n v="1500"/>
    <d v="2026-02-12T00:00:00"/>
    <n v="0.6987951807228916"/>
    <s v="Yes"/>
    <x v="1"/>
    <n v="87000"/>
    <n v="8657"/>
    <s v="High"/>
    <n v="87000"/>
    <s v="No"/>
  </r>
  <r>
    <s v="P052"/>
    <s v="Biscuits Pack"/>
    <x v="2"/>
    <x v="3"/>
    <n v="25"/>
    <n v="33"/>
    <n v="157"/>
    <n v="177"/>
    <n v="30"/>
    <d v="2026-03-03T00:00:00"/>
    <n v="0.15923566878980891"/>
    <s v="Yes"/>
    <x v="1"/>
    <n v="750"/>
    <n v="28863"/>
    <s v="High"/>
    <n v="750"/>
    <s v="No"/>
  </r>
  <r>
    <s v="P053"/>
    <s v="Toothpaste"/>
    <x v="3"/>
    <x v="2"/>
    <n v="48"/>
    <n v="101"/>
    <n v="272"/>
    <n v="171"/>
    <n v="90"/>
    <d v="2026-02-17T00:00:00"/>
    <n v="0.17647058823529413"/>
    <s v="Yes"/>
    <x v="1"/>
    <n v="4320"/>
    <n v="48368"/>
    <s v="High"/>
    <n v="4320"/>
    <s v="No"/>
  </r>
  <r>
    <s v="P054"/>
    <s v="Sticky Notes"/>
    <x v="4"/>
    <x v="3"/>
    <n v="161"/>
    <n v="55"/>
    <n v="166"/>
    <n v="159"/>
    <n v="40"/>
    <d v="2026-03-06T00:00:00"/>
    <n v="0.96987951807228912"/>
    <s v="No"/>
    <x v="2"/>
    <n v="6440"/>
    <n v="27395"/>
    <s v="High"/>
    <n v="6440"/>
    <s v="No"/>
  </r>
  <r>
    <s v="P055"/>
    <s v="First Aid Kit"/>
    <x v="5"/>
    <x v="5"/>
    <n v="227"/>
    <n v="210"/>
    <n v="17"/>
    <n v="187"/>
    <n v="500"/>
    <d v="2026-02-19T00:00:00"/>
    <n v="13.352941176470589"/>
    <s v="No"/>
    <x v="2"/>
    <n v="113500"/>
    <n v="3071"/>
    <s v="High"/>
    <n v="113500"/>
    <s v="No"/>
  </r>
  <r>
    <s v="P056"/>
    <s v="Electric Kettle"/>
    <x v="1"/>
    <x v="6"/>
    <n v="274"/>
    <n v="37"/>
    <n v="212"/>
    <n v="48"/>
    <n v="1200"/>
    <d v="2026-02-14T00:00:00"/>
    <n v="1.2924528301886793"/>
    <s v="No"/>
    <x v="2"/>
    <n v="328800"/>
    <n v="11386"/>
    <s v="High"/>
    <n v="328800"/>
    <s v="No"/>
  </r>
  <r>
    <s v="P057"/>
    <s v="Chips Packet"/>
    <x v="2"/>
    <x v="0"/>
    <n v="250"/>
    <n v="151"/>
    <n v="83"/>
    <n v="155"/>
    <n v="20"/>
    <d v="2026-03-01T00:00:00"/>
    <n v="3.0120481927710845"/>
    <s v="No"/>
    <x v="2"/>
    <n v="5000"/>
    <n v="13196"/>
    <s v="High"/>
    <n v="5000"/>
    <s v="No"/>
  </r>
  <r>
    <s v="P058"/>
    <s v="Body Lotion"/>
    <x v="3"/>
    <x v="1"/>
    <n v="177"/>
    <n v="181"/>
    <n v="170"/>
    <n v="64"/>
    <n v="350"/>
    <d v="2026-02-23T00:00:00"/>
    <n v="1.0411764705882354"/>
    <s v="Yes"/>
    <x v="1"/>
    <n v="61950"/>
    <n v="11893"/>
    <s v="High"/>
    <n v="61950"/>
    <s v="No"/>
  </r>
  <r>
    <s v="P059"/>
    <s v="Printer Paper Pack"/>
    <x v="4"/>
    <x v="0"/>
    <n v="28"/>
    <n v="65"/>
    <n v="6"/>
    <n v="8"/>
    <n v="300"/>
    <d v="2026-03-04T00:00:00"/>
    <n v="4.666666666666667"/>
    <s v="Yes"/>
    <x v="1"/>
    <n v="8400"/>
    <n v="62"/>
    <s v="High"/>
    <n v="8400"/>
    <s v="No"/>
  </r>
  <r>
    <s v="P060"/>
    <s v="Thermometer"/>
    <x v="5"/>
    <x v="3"/>
    <n v="22"/>
    <n v="50"/>
    <n v="5"/>
    <n v="13"/>
    <n v="250"/>
    <d v="2026-02-16T00:00:00"/>
    <n v="4.4000000000000004"/>
    <s v="Yes"/>
    <x v="1"/>
    <n v="5500"/>
    <n v="78"/>
    <s v="High"/>
    <n v="5500"/>
    <s v="No"/>
  </r>
  <r>
    <s v="P061"/>
    <s v="Wireless Mouse"/>
    <x v="0"/>
    <x v="0"/>
    <n v="310"/>
    <n v="85"/>
    <n v="2"/>
    <n v="6"/>
    <n v="800"/>
    <d v="2026-02-10T00:00:00"/>
    <n v="155"/>
    <s v="No"/>
    <x v="0"/>
    <n v="248000"/>
    <n v="0"/>
    <s v="Low"/>
    <n v="0"/>
    <s v="Yes"/>
  </r>
  <r>
    <s v="P062"/>
    <s v="USB Keyboard"/>
    <x v="0"/>
    <x v="2"/>
    <n v="210"/>
    <n v="80"/>
    <n v="6"/>
    <n v="3"/>
    <n v="900"/>
    <d v="2026-02-18T00:00:00"/>
    <n v="35"/>
    <s v="No"/>
    <x v="0"/>
    <n v="189000"/>
    <n v="0"/>
    <s v="Low"/>
    <n v="0"/>
    <s v="No"/>
  </r>
  <r>
    <s v="P063"/>
    <s v="LED Bulb 9W"/>
    <x v="1"/>
    <x v="7"/>
    <n v="241"/>
    <n v="56"/>
    <n v="46"/>
    <n v="300"/>
    <n v="120"/>
    <d v="2026-03-01T00:00:00"/>
    <n v="5.2391304347826084"/>
    <s v="No"/>
    <x v="2"/>
    <n v="28920"/>
    <n v="13881"/>
    <s v="High"/>
    <n v="28920"/>
    <s v="No"/>
  </r>
  <r>
    <s v="P064"/>
    <s v="Coffee Jar 200g"/>
    <x v="2"/>
    <x v="3"/>
    <n v="37"/>
    <n v="75"/>
    <n v="198"/>
    <n v="140"/>
    <n v="250"/>
    <d v="2026-02-25T00:00:00"/>
    <n v="0.18686868686868688"/>
    <s v="Yes"/>
    <x v="1"/>
    <n v="9250"/>
    <n v="29069"/>
    <s v="High"/>
    <n v="9250"/>
    <s v="No"/>
  </r>
  <r>
    <s v="P065"/>
    <s v="Shampoo 500ml"/>
    <x v="3"/>
    <x v="2"/>
    <n v="254"/>
    <n v="25"/>
    <n v="179"/>
    <n v="91"/>
    <n v="300"/>
    <d v="2026-02-15T00:00:00"/>
    <n v="1.4189944134078212"/>
    <s v="No"/>
    <x v="2"/>
    <n v="76200"/>
    <n v="17288"/>
    <s v="High"/>
    <n v="76200"/>
    <s v="No"/>
  </r>
  <r>
    <s v="P066"/>
    <s v="Notebook A5"/>
    <x v="4"/>
    <x v="4"/>
    <n v="25"/>
    <n v="153"/>
    <n v="236"/>
    <n v="247"/>
    <n v="50"/>
    <d v="2026-03-05T00:00:00"/>
    <n v="0.1059322033898305"/>
    <s v="Yes"/>
    <x v="1"/>
    <n v="1250"/>
    <n v="59919"/>
    <s v="High"/>
    <n v="1250"/>
    <s v="No"/>
  </r>
  <r>
    <s v="P067"/>
    <s v="Sanitizer 500ml"/>
    <x v="5"/>
    <x v="5"/>
    <n v="154"/>
    <n v="142"/>
    <n v="203"/>
    <n v="33"/>
    <n v="150"/>
    <d v="2026-02-20T00:00:00"/>
    <n v="0.75862068965517238"/>
    <s v="No"/>
    <x v="2"/>
    <n v="23100"/>
    <n v="7966"/>
    <s v="High"/>
    <n v="23100"/>
    <s v="No"/>
  </r>
  <r>
    <s v="P068"/>
    <s v="Water Bottle 1L"/>
    <x v="1"/>
    <x v="0"/>
    <n v="52"/>
    <n v="198"/>
    <n v="266"/>
    <n v="273"/>
    <n v="200"/>
    <d v="2026-03-02T00:00:00"/>
    <n v="0.19548872180451127"/>
    <s v="Yes"/>
    <x v="1"/>
    <n v="10400"/>
    <n v="74428"/>
    <s v="High"/>
    <n v="10400"/>
    <s v="No"/>
  </r>
  <r>
    <s v="P069"/>
    <s v="Detergent Pack"/>
    <x v="2"/>
    <x v="4"/>
    <n v="63"/>
    <n v="170"/>
    <n v="265"/>
    <n v="215"/>
    <n v="180"/>
    <d v="2026-02-22T00:00:00"/>
    <n v="0.23773584905660378"/>
    <s v="Yes"/>
    <x v="1"/>
    <n v="11340"/>
    <n v="58767"/>
    <s v="High"/>
    <n v="11340"/>
    <s v="No"/>
  </r>
  <r>
    <s v="P070"/>
    <s v="Face Wash 100ml"/>
    <x v="3"/>
    <x v="1"/>
    <n v="292"/>
    <n v="167"/>
    <n v="53"/>
    <n v="118"/>
    <n v="220"/>
    <d v="2026-02-28T00:00:00"/>
    <n v="5.5094339622641506"/>
    <s v="No"/>
    <x v="2"/>
    <n v="64240"/>
    <n v="6333"/>
    <s v="High"/>
    <n v="64240"/>
    <s v="No"/>
  </r>
  <r>
    <s v="P071"/>
    <s v="Headphones"/>
    <x v="0"/>
    <x v="7"/>
    <n v="33"/>
    <n v="38"/>
    <n v="178"/>
    <n v="95"/>
    <n v="1500"/>
    <d v="2026-02-12T00:00:00"/>
    <n v="0.1853932584269663"/>
    <s v="Yes"/>
    <x v="1"/>
    <n v="49500"/>
    <n v="18123"/>
    <s v="High"/>
    <n v="49500"/>
    <s v="No"/>
  </r>
  <r>
    <s v="P072"/>
    <s v="Biscuits Pack"/>
    <x v="2"/>
    <x v="3"/>
    <n v="207"/>
    <n v="92"/>
    <n v="167"/>
    <n v="14"/>
    <n v="30"/>
    <d v="2026-03-03T00:00:00"/>
    <n v="1.2395209580838322"/>
    <s v="No"/>
    <x v="2"/>
    <n v="6210"/>
    <n v="3300"/>
    <s v="High"/>
    <n v="6210"/>
    <s v="No"/>
  </r>
  <r>
    <s v="P073"/>
    <s v="Toothpaste"/>
    <x v="3"/>
    <x v="5"/>
    <n v="296"/>
    <n v="288"/>
    <n v="198"/>
    <n v="86"/>
    <n v="90"/>
    <d v="2026-02-17T00:00:00"/>
    <n v="1.494949494949495"/>
    <s v="No"/>
    <x v="2"/>
    <n v="26640"/>
    <n v="18118"/>
    <s v="High"/>
    <n v="26640"/>
    <s v="No"/>
  </r>
  <r>
    <s v="P074"/>
    <s v="Sticky Notes"/>
    <x v="4"/>
    <x v="4"/>
    <n v="89"/>
    <n v="247"/>
    <n v="151"/>
    <n v="96"/>
    <n v="40"/>
    <d v="2026-03-06T00:00:00"/>
    <n v="0.58940397350993379"/>
    <s v="Yes"/>
    <x v="1"/>
    <n v="3560"/>
    <n v="15464"/>
    <s v="High"/>
    <n v="3560"/>
    <s v="No"/>
  </r>
  <r>
    <s v="P075"/>
    <s v="First Aid Kit"/>
    <x v="5"/>
    <x v="5"/>
    <n v="267"/>
    <n v="242"/>
    <n v="95"/>
    <n v="185"/>
    <n v="500"/>
    <d v="2026-02-19T00:00:00"/>
    <n v="2.8105263157894735"/>
    <s v="No"/>
    <x v="2"/>
    <n v="133500"/>
    <n v="17973"/>
    <s v="High"/>
    <n v="133500"/>
    <s v="No"/>
  </r>
  <r>
    <s v="P076"/>
    <s v="Electric Kettle"/>
    <x v="1"/>
    <x v="6"/>
    <n v="237"/>
    <n v="107"/>
    <n v="91"/>
    <n v="27"/>
    <n v="1200"/>
    <d v="2026-02-14T00:00:00"/>
    <n v="2.6043956043956045"/>
    <s v="No"/>
    <x v="2"/>
    <n v="284400"/>
    <n v="2857"/>
    <s v="High"/>
    <n v="284400"/>
    <s v="No"/>
  </r>
  <r>
    <s v="P077"/>
    <s v="Chips Packet"/>
    <x v="2"/>
    <x v="0"/>
    <n v="109"/>
    <n v="106"/>
    <n v="224"/>
    <n v="78"/>
    <n v="20"/>
    <d v="2026-03-01T00:00:00"/>
    <n v="0.48660714285714285"/>
    <s v="No"/>
    <x v="2"/>
    <n v="2180"/>
    <n v="18931"/>
    <s v="High"/>
    <n v="2180"/>
    <s v="No"/>
  </r>
  <r>
    <s v="P078"/>
    <s v="Body Lotion"/>
    <x v="3"/>
    <x v="1"/>
    <n v="131"/>
    <n v="251"/>
    <n v="76"/>
    <n v="193"/>
    <n v="350"/>
    <d v="2026-02-23T00:00:00"/>
    <n v="1.7236842105263157"/>
    <s v="Yes"/>
    <x v="1"/>
    <n v="45850"/>
    <n v="15069"/>
    <s v="High"/>
    <n v="45850"/>
    <s v="No"/>
  </r>
  <r>
    <s v="P079"/>
    <s v="Printer Paper Pack"/>
    <x v="4"/>
    <x v="7"/>
    <n v="111"/>
    <n v="39"/>
    <n v="68"/>
    <n v="145"/>
    <n v="300"/>
    <d v="2026-03-04T00:00:00"/>
    <n v="1.6323529411764706"/>
    <s v="No"/>
    <x v="2"/>
    <n v="33300"/>
    <n v="10225"/>
    <s v="High"/>
    <n v="33300"/>
    <s v="No"/>
  </r>
  <r>
    <s v="P080"/>
    <s v="Thermometer"/>
    <x v="5"/>
    <x v="3"/>
    <n v="208"/>
    <n v="292"/>
    <n v="63"/>
    <n v="43"/>
    <n v="250"/>
    <d v="2026-02-16T00:00:00"/>
    <n v="3.3015873015873014"/>
    <s v="Yes"/>
    <x v="1"/>
    <n v="52000"/>
    <n v="2942"/>
    <s v="High"/>
    <n v="52000"/>
    <s v="No"/>
  </r>
  <r>
    <s v="P081"/>
    <s v="Wireless Mouse"/>
    <x v="0"/>
    <x v="0"/>
    <n v="202"/>
    <n v="25"/>
    <n v="62"/>
    <n v="36"/>
    <n v="800"/>
    <d v="2026-02-10T00:00:00"/>
    <n v="3.2580645161290325"/>
    <s v="No"/>
    <x v="2"/>
    <n v="161600"/>
    <n v="2464"/>
    <s v="High"/>
    <n v="161600"/>
    <s v="No"/>
  </r>
  <r>
    <s v="P082"/>
    <s v="USB Keyboard"/>
    <x v="0"/>
    <x v="1"/>
    <n v="15"/>
    <n v="144"/>
    <n v="104"/>
    <n v="73"/>
    <n v="900"/>
    <d v="2026-02-18T00:00:00"/>
    <n v="0.14423076923076922"/>
    <s v="Yes"/>
    <x v="1"/>
    <n v="13500"/>
    <n v="8305"/>
    <s v="High"/>
    <n v="13500"/>
    <s v="No"/>
  </r>
  <r>
    <s v="P083"/>
    <s v="LED Bulb 9W"/>
    <x v="1"/>
    <x v="7"/>
    <n v="44"/>
    <n v="55"/>
    <n v="195"/>
    <n v="27"/>
    <n v="120"/>
    <d v="2026-03-01T00:00:00"/>
    <n v="0.22564102564102564"/>
    <s v="Yes"/>
    <x v="1"/>
    <n v="5280"/>
    <n v="6586"/>
    <s v="High"/>
    <n v="5280"/>
    <s v="No"/>
  </r>
  <r>
    <s v="P084"/>
    <s v="Coffee Jar 200g"/>
    <x v="2"/>
    <x v="3"/>
    <n v="236"/>
    <n v="13"/>
    <n v="162"/>
    <n v="137"/>
    <n v="250"/>
    <d v="2026-02-25T00:00:00"/>
    <n v="1.4567901234567902"/>
    <s v="No"/>
    <x v="2"/>
    <n v="59000"/>
    <n v="23092"/>
    <s v="High"/>
    <n v="59000"/>
    <s v="No"/>
  </r>
  <r>
    <s v="P085"/>
    <s v="Shampoo 500ml"/>
    <x v="3"/>
    <x v="2"/>
    <n v="116"/>
    <n v="86"/>
    <n v="135"/>
    <n v="214"/>
    <n v="300"/>
    <d v="2026-02-15T00:00:00"/>
    <n v="0.85925925925925928"/>
    <s v="No"/>
    <x v="2"/>
    <n v="34800"/>
    <n v="29719"/>
    <s v="High"/>
    <n v="34800"/>
    <s v="No"/>
  </r>
  <r>
    <s v="P086"/>
    <s v="Notebook A5"/>
    <x v="4"/>
    <x v="4"/>
    <n v="237"/>
    <n v="101"/>
    <n v="224"/>
    <n v="132"/>
    <n v="50"/>
    <d v="2026-03-05T00:00:00"/>
    <n v="1.0580357142857142"/>
    <s v="No"/>
    <x v="2"/>
    <n v="11850"/>
    <n v="30899"/>
    <s v="High"/>
    <n v="11850"/>
    <s v="No"/>
  </r>
  <r>
    <s v="P087"/>
    <s v="Sanitizer 500ml"/>
    <x v="5"/>
    <x v="5"/>
    <n v="269"/>
    <n v="199"/>
    <n v="149"/>
    <n v="25"/>
    <n v="150"/>
    <d v="2026-02-20T00:00:00"/>
    <n v="1.8053691275167785"/>
    <s v="No"/>
    <x v="2"/>
    <n v="40350"/>
    <n v="4499"/>
    <s v="High"/>
    <n v="40350"/>
    <s v="No"/>
  </r>
  <r>
    <s v="P088"/>
    <s v="Water Bottle 1L"/>
    <x v="1"/>
    <x v="6"/>
    <n v="20"/>
    <n v="96"/>
    <n v="108"/>
    <n v="30"/>
    <n v="200"/>
    <d v="2026-03-02T00:00:00"/>
    <n v="0.18518518518518517"/>
    <s v="Yes"/>
    <x v="1"/>
    <n v="4000"/>
    <n v="3976"/>
    <s v="High"/>
    <n v="4000"/>
    <s v="No"/>
  </r>
  <r>
    <s v="P089"/>
    <s v="Detergent Pack"/>
    <x v="2"/>
    <x v="0"/>
    <n v="154"/>
    <n v="55"/>
    <n v="65"/>
    <n v="275"/>
    <n v="180"/>
    <d v="2026-02-22T00:00:00"/>
    <n v="2.3692307692307693"/>
    <s v="No"/>
    <x v="2"/>
    <n v="27720"/>
    <n v="18176"/>
    <s v="High"/>
    <n v="27720"/>
    <s v="No"/>
  </r>
  <r>
    <s v="P090"/>
    <s v="Face Wash 100ml"/>
    <x v="3"/>
    <x v="2"/>
    <n v="138"/>
    <n v="143"/>
    <n v="87"/>
    <n v="129"/>
    <n v="220"/>
    <d v="2026-02-28T00:00:00"/>
    <n v="1.5862068965517242"/>
    <s v="Yes"/>
    <x v="1"/>
    <n v="30360"/>
    <n v="11694"/>
    <s v="High"/>
    <n v="30360"/>
    <s v="No"/>
  </r>
  <r>
    <s v="P091"/>
    <s v="Headphones"/>
    <x v="0"/>
    <x v="4"/>
    <n v="196"/>
    <n v="240"/>
    <n v="137"/>
    <n v="143"/>
    <n v="1500"/>
    <d v="2026-02-12T00:00:00"/>
    <n v="1.4306569343065694"/>
    <s v="Yes"/>
    <x v="1"/>
    <n v="294000"/>
    <n v="20354"/>
    <s v="High"/>
    <n v="294000"/>
    <s v="No"/>
  </r>
  <r>
    <s v="P092"/>
    <s v="Biscuits Pack"/>
    <x v="2"/>
    <x v="3"/>
    <n v="162"/>
    <n v="167"/>
    <n v="81"/>
    <n v="230"/>
    <n v="30"/>
    <d v="2026-03-03T00:00:00"/>
    <n v="2"/>
    <s v="Yes"/>
    <x v="1"/>
    <n v="4860"/>
    <n v="19035"/>
    <s v="High"/>
    <n v="4860"/>
    <s v="No"/>
  </r>
  <r>
    <s v="P093"/>
    <s v="Toothpaste"/>
    <x v="3"/>
    <x v="2"/>
    <n v="298"/>
    <n v="125"/>
    <n v="233"/>
    <n v="18"/>
    <n v="90"/>
    <d v="2026-02-17T00:00:00"/>
    <n v="1.2789699570815452"/>
    <s v="No"/>
    <x v="2"/>
    <n v="26820"/>
    <n v="5527"/>
    <s v="High"/>
    <n v="26820"/>
    <s v="No"/>
  </r>
  <r>
    <s v="P094"/>
    <s v="Sticky Notes"/>
    <x v="4"/>
    <x v="4"/>
    <n v="289"/>
    <n v="85"/>
    <n v="148"/>
    <n v="189"/>
    <n v="40"/>
    <d v="2026-03-06T00:00:00"/>
    <n v="1.9527027027027026"/>
    <s v="No"/>
    <x v="2"/>
    <n v="11560"/>
    <n v="28719"/>
    <s v="High"/>
    <n v="11560"/>
    <s v="No"/>
  </r>
  <r>
    <s v="P095"/>
    <s v="First Aid Kit"/>
    <x v="5"/>
    <x v="2"/>
    <n v="69"/>
    <n v="228"/>
    <n v="46"/>
    <n v="235"/>
    <n v="500"/>
    <d v="2026-02-19T00:00:00"/>
    <n v="1.5"/>
    <s v="Yes"/>
    <x v="1"/>
    <n v="34500"/>
    <n v="11063"/>
    <s v="High"/>
    <n v="34500"/>
    <s v="No"/>
  </r>
  <r>
    <s v="P096"/>
    <s v="Electric Kettle"/>
    <x v="1"/>
    <x v="6"/>
    <n v="112"/>
    <n v="152"/>
    <n v="81"/>
    <n v="109"/>
    <n v="1200"/>
    <d v="2026-02-14T00:00:00"/>
    <n v="1.382716049382716"/>
    <s v="Yes"/>
    <x v="1"/>
    <n v="134400"/>
    <n v="9284"/>
    <s v="High"/>
    <n v="134400"/>
    <s v="No"/>
  </r>
  <r>
    <s v="P097"/>
    <s v="Chips Packet"/>
    <x v="2"/>
    <x v="1"/>
    <n v="142"/>
    <n v="252"/>
    <n v="196"/>
    <n v="289"/>
    <n v="20"/>
    <d v="2026-03-01T00:00:00"/>
    <n v="0.72448979591836737"/>
    <s v="Yes"/>
    <x v="1"/>
    <n v="2840"/>
    <n v="57874"/>
    <s v="High"/>
    <n v="2840"/>
    <s v="No"/>
  </r>
  <r>
    <s v="P098"/>
    <s v="Body Lotion"/>
    <x v="3"/>
    <x v="1"/>
    <n v="259"/>
    <n v="261"/>
    <n v="29"/>
    <n v="219"/>
    <n v="350"/>
    <d v="2026-02-23T00:00:00"/>
    <n v="8.931034482758621"/>
    <s v="Yes"/>
    <x v="1"/>
    <n v="90650"/>
    <n v="6295"/>
    <s v="High"/>
    <n v="90650"/>
    <s v="No"/>
  </r>
  <r>
    <s v="P099"/>
    <s v="Printer Paper Pack"/>
    <x v="4"/>
    <x v="5"/>
    <n v="77"/>
    <n v="68"/>
    <n v="227"/>
    <n v="254"/>
    <n v="300"/>
    <d v="2026-03-04T00:00:00"/>
    <n v="0.33920704845814981"/>
    <s v="No"/>
    <x v="2"/>
    <n v="23100"/>
    <n v="59170"/>
    <s v="High"/>
    <n v="23100"/>
    <s v="No"/>
  </r>
  <r>
    <s v="P0100"/>
    <s v="Thermometer"/>
    <x v="5"/>
    <x v="6"/>
    <n v="45"/>
    <n v="256"/>
    <n v="200"/>
    <n v="11"/>
    <n v="250"/>
    <d v="2026-02-16T00:00:00"/>
    <n v="0.22500000000000001"/>
    <s v="Yes"/>
    <x v="1"/>
    <n v="11250"/>
    <n v="3555"/>
    <s v="High"/>
    <n v="1125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F401AF-4E79-4530-838B-76D20F676AA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Stock Status">
  <location ref="A15:B18" firstHeaderRow="1" firstDataRow="1" firstDataCol="1"/>
  <pivotFields count="1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axis="axisRow"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s>
  <rowFields count="1">
    <field x="12"/>
  </rowFields>
  <rowItems count="3">
    <i>
      <x/>
    </i>
    <i>
      <x v="1"/>
    </i>
    <i>
      <x v="2"/>
    </i>
  </rowItems>
  <colItems count="1">
    <i/>
  </colItems>
  <dataFields count="1">
    <dataField name="Number of Products" fld="0" subtotal="count" baseField="12" baseItem="0"/>
  </dataFields>
  <formats count="6">
    <format dxfId="27">
      <pivotArea outline="0" collapsedLevelsAreSubtotals="1" fieldPosition="0"/>
    </format>
    <format dxfId="11">
      <pivotArea type="all" dataOnly="0" outline="0" fieldPosition="0"/>
    </format>
    <format dxfId="10">
      <pivotArea outline="0" collapsedLevelsAreSubtotals="1" fieldPosition="0"/>
    </format>
    <format dxfId="9">
      <pivotArea field="12" type="button" dataOnly="0" labelOnly="1" outline="0" axis="axisRow" fieldPosition="0"/>
    </format>
    <format dxfId="8">
      <pivotArea dataOnly="0" labelOnly="1" outline="0" fieldPosition="0">
        <references count="1">
          <reference field="12" count="0"/>
        </references>
      </pivotArea>
    </format>
    <format dxfId="7">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C4F3A-491F-4C6E-9C45-A02E9B758FCD}" name="PivotTable2"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rowHeaderCaption="Category" colHeaderCaption="Stock Status">
  <location ref="E3:H10" firstHeaderRow="1" firstDataRow="2" firstDataCol="1"/>
  <pivotFields count="18">
    <pivotField dataField="1" compact="0" outline="0" showAll="0"/>
    <pivotField compact="0" outline="0" showAll="0"/>
    <pivotField axis="axisRow" compact="0" outline="0" showAll="0" sortType="descending">
      <items count="7">
        <item x="0"/>
        <item x="2"/>
        <item x="1"/>
        <item x="5"/>
        <item x="3"/>
        <item x="4"/>
        <item t="default"/>
      </items>
      <autoSortScope>
        <pivotArea dataOnly="0" outline="0" fieldPosition="0">
          <references count="2">
            <reference field="4294967294" count="1" selected="0">
              <x v="0"/>
            </reference>
            <reference field="12"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name="Stock Status" axis="axisCol"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6">
    <i>
      <x v="1"/>
    </i>
    <i>
      <x v="3"/>
    </i>
    <i>
      <x v="4"/>
    </i>
    <i>
      <x v="2"/>
    </i>
    <i>
      <x/>
    </i>
    <i>
      <x v="5"/>
    </i>
  </rowItems>
  <colFields count="1">
    <field x="12"/>
  </colFields>
  <colItems count="3">
    <i>
      <x/>
    </i>
    <i>
      <x v="1"/>
    </i>
    <i>
      <x v="2"/>
    </i>
  </colItems>
  <dataFields count="1">
    <dataField name="Stock Count" fld="0" subtotal="count" baseField="0" baseItem="0"/>
  </dataFields>
  <formats count="14">
    <format dxfId="21">
      <pivotArea type="all" dataOnly="0" outline="0" fieldPosition="0"/>
    </format>
    <format dxfId="22">
      <pivotArea dataOnly="0" outline="0" fieldPosition="0">
        <references count="1">
          <reference field="12" count="0"/>
        </references>
      </pivotArea>
    </format>
    <format dxfId="23">
      <pivotArea dataOnly="0" outline="0" fieldPosition="0">
        <references count="1">
          <reference field="12" count="0"/>
        </references>
      </pivotArea>
    </format>
    <format dxfId="24">
      <pivotArea field="2" type="button" dataOnly="0" labelOnly="1" outline="0" axis="axisRow" fieldPosition="0"/>
    </format>
    <format dxfId="25">
      <pivotArea dataOnly="0" labelOnly="1" outline="0" fieldPosition="0">
        <references count="1">
          <reference field="12" count="0"/>
        </references>
      </pivotArea>
    </format>
    <format dxfId="26">
      <pivotArea type="origin" dataOnly="0" labelOnly="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12"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outline="0" fieldPosition="0">
        <references count="1">
          <reference field="2" count="0"/>
        </references>
      </pivotArea>
    </format>
    <format dxfId="12">
      <pivotArea dataOnly="0" labelOnly="1" outline="0" fieldPosition="0">
        <references count="1">
          <reference field="12" count="0"/>
        </references>
      </pivotArea>
    </format>
  </formats>
  <conditionalFormats count="1">
    <conditionalFormat priority="6">
      <pivotAreas count="1">
        <pivotArea outline="0" fieldPosition="0">
          <references count="1">
            <reference field="12"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DC1F47-FEED-4014-95CB-1E184F91283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rowHeaderCaption="Supplier">
  <location ref="A24:B32" firstHeaderRow="1" firstDataRow="1" firstDataCol="1"/>
  <pivotFields count="18">
    <pivotField dataField="1" compact="0" outline="0" showAll="0"/>
    <pivotField compact="0" outline="0" showAll="0"/>
    <pivotField compact="0" outline="0" showAll="0"/>
    <pivotField axis="axisRow" compact="0" outline="0" showAll="0" sortType="descending">
      <items count="9">
        <item x="0"/>
        <item x="1"/>
        <item x="7"/>
        <item x="4"/>
        <item x="3"/>
        <item x="2"/>
        <item x="6"/>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multipleItemSelectionAllowed="1" showAll="0">
      <items count="4">
        <item x="1"/>
        <item h="1" x="2"/>
        <item h="1" x="0"/>
        <item t="default"/>
      </items>
    </pivotField>
    <pivotField compact="0" outline="0" showAll="0"/>
    <pivotField compact="0" outline="0" showAll="0"/>
    <pivotField compact="0" outline="0" showAll="0"/>
    <pivotField compact="0" outline="0" showAll="0"/>
    <pivotField compact="0" outline="0" showAll="0"/>
  </pivotFields>
  <rowFields count="1">
    <field x="3"/>
  </rowFields>
  <rowItems count="8">
    <i>
      <x v="4"/>
    </i>
    <i>
      <x v="1"/>
    </i>
    <i>
      <x v="5"/>
    </i>
    <i>
      <x v="2"/>
    </i>
    <i>
      <x v="6"/>
    </i>
    <i>
      <x v="7"/>
    </i>
    <i>
      <x v="3"/>
    </i>
    <i>
      <x/>
    </i>
  </rowItems>
  <colItems count="1">
    <i/>
  </colItems>
  <dataFields count="1">
    <dataField name="Risky Products" fld="0" subtotal="count" baseField="0" baseItem="0"/>
  </dataFields>
  <formats count="6">
    <format dxfId="28">
      <pivotArea outline="0" collapsedLevelsAreSubtotals="1"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outline="0" fieldPosition="0">
        <references count="1">
          <reference field="3" count="0"/>
        </references>
      </pivotArea>
    </format>
    <format dxfId="1">
      <pivotArea dataOnly="0" labelOnly="1" outline="0" axis="axisValues" fieldPosition="0"/>
    </format>
  </format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6311521F-1B81-4471-8EDE-261D3E32A264}" sourceName="Supplier">
  <pivotTables>
    <pivotTable tabId="4" name="PivotTable3"/>
  </pivotTables>
  <data>
    <tabular pivotCacheId="1387295172">
      <items count="8">
        <i x="0" s="1"/>
        <i x="1" s="1"/>
        <i x="7" s="1"/>
        <i x="4" s="1"/>
        <i x="3" s="1"/>
        <i x="2"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B09A9B87-ED22-4889-8328-361E563A0C7C}" sourceName="Stock_Status">
  <pivotTables>
    <pivotTable tabId="4" name="PivotTable3"/>
  </pivotTables>
  <data>
    <tabular pivotCacheId="1387295172">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DC1CA802-581D-4F82-AE13-40315F72FD1D}" cache="Slicer_Supplier" caption="Supplier" rowHeight="247650"/>
  <slicer name="Stock_Status" xr10:uid="{8A95D44B-E8F8-4DA0-BA68-7F564D29CC56}" cache="Slicer_Stock_Status" caption="Stock 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27E5CE-8CA1-4620-B298-6C1556D60B36}" name="tblInventory" displayName="tblInventory" ref="A1:J101" totalsRowShown="0">
  <autoFilter ref="A1:J101" xr:uid="{7127E5CE-8CA1-4620-B298-6C1556D60B36}"/>
  <tableColumns count="10">
    <tableColumn id="1" xr3:uid="{E1A617BD-7773-4BBC-977F-12F9E17DD156}" name="Product_ID"/>
    <tableColumn id="2" xr3:uid="{55463028-1A62-4843-A9A2-6E7814EDD48D}" name="Product_Name"/>
    <tableColumn id="3" xr3:uid="{98842794-1F1D-4864-AA76-B686F2F39E0C}" name="Category"/>
    <tableColumn id="4" xr3:uid="{0DA7D188-6955-43C2-A53C-FE5F278D5A09}" name="Supplier"/>
    <tableColumn id="5" xr3:uid="{D5FCA1CA-BF21-4E46-8CED-ABAFA3F460B9}" name="Current_Stock"/>
    <tableColumn id="6" xr3:uid="{9509ED50-2915-43D7-92CE-BDA40D49E9DB}" name="Reorder_Level"/>
    <tableColumn id="7" xr3:uid="{22CD7B9E-50F2-480E-A940-808091063C61}" name="Avg_Daily_Sales"/>
    <tableColumn id="8" xr3:uid="{07B8A6D4-791F-4A15-BF41-AD2DAFE69D07}" name="Lead_Time_Days"/>
    <tableColumn id="9" xr3:uid="{C00A853B-9FDA-429A-8F43-38E0AFA46C7F}" name="Unit_Cost"/>
    <tableColumn id="10" xr3:uid="{02609CBD-4E07-4F87-8F6C-0DF6720D8B33}" name="Last_Restock_Date"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E4EA58-FF50-4923-B020-3BB85EF90B04}" name="tblCalc" displayName="tblCalc" ref="A1:R101" totalsRowShown="0">
  <autoFilter ref="A1:R101" xr:uid="{6EE4EA58-FF50-4923-B020-3BB85EF90B04}"/>
  <tableColumns count="18">
    <tableColumn id="1" xr3:uid="{ED895F85-0256-4E4C-AD9B-B80BC9FFAC62}" name="Product_ID"/>
    <tableColumn id="2" xr3:uid="{25E7FF96-4686-4E6F-B5D7-9DF6980B2C1D}" name="Product_Name"/>
    <tableColumn id="3" xr3:uid="{2BEFF117-838A-46FB-A5DA-41ADE814E236}" name="Category"/>
    <tableColumn id="4" xr3:uid="{B1695029-49FF-4B1F-8F40-DD04387E43A4}" name="Supplier"/>
    <tableColumn id="5" xr3:uid="{699C17DC-46C3-4E9E-A0E5-A76064B41DBB}" name="Current_Stock"/>
    <tableColumn id="6" xr3:uid="{D62A026E-7D10-4C16-863C-08C9E4430CBB}" name="Reorder_Level"/>
    <tableColumn id="7" xr3:uid="{965321AD-9679-46B8-B93E-C081A036B01F}" name="Avg_Daily_Sales"/>
    <tableColumn id="8" xr3:uid="{B6413F31-B61C-44CF-A4E1-E3A8A44245FF}" name="Lead_Time_Days"/>
    <tableColumn id="9" xr3:uid="{D8103546-6593-4FF2-B1FE-42CFCD1B9D84}" name="Unit_Cost"/>
    <tableColumn id="10" xr3:uid="{CD10B71E-58DE-4E8F-AEF7-474C21C58222}" name="Last_Restock_Date" dataDxfId="37"/>
    <tableColumn id="11" xr3:uid="{2E0F82FB-BF4C-40AC-94C1-892DC9161760}" name="Days_Stock_Left" dataDxfId="36">
      <calculatedColumnFormula>IFERROR(E2/G2,0)</calculatedColumnFormula>
    </tableColumn>
    <tableColumn id="12" xr3:uid="{6897AA58-3DE4-4E33-9853-B5C121BA7E09}" name="Reorder_Needed">
      <calculatedColumnFormula>IF(E2&lt;=F2,"Yes","No")</calculatedColumnFormula>
    </tableColumn>
    <tableColumn id="13" xr3:uid="{7517237B-1161-4FF4-B19D-94325EA61BD9}" name="Stock_Status" dataDxfId="35">
      <calculatedColumnFormula>IF(E2&lt;=F2,"Critical",IF(K2&lt;=(H2+3),"Low","Safe"))</calculatedColumnFormula>
    </tableColumn>
    <tableColumn id="14" xr3:uid="{28B44300-A139-498A-89B7-EFDD6A3B06F0}" name="Inventory_Value" dataDxfId="34">
      <calculatedColumnFormula>E2*I2</calculatedColumnFormula>
    </tableColumn>
    <tableColumn id="15" xr3:uid="{113A7CB4-3711-4FE7-81F2-1F37B3045E31}" name="Reorder_Quantity" dataDxfId="33">
      <calculatedColumnFormula>MAX((G2*(H2+7))-E2,0)</calculatedColumnFormula>
    </tableColumn>
    <tableColumn id="16" xr3:uid="{D9B7DF75-B93F-4662-A0AF-0AD2FB3B5598}" name="Stockout_Risk" dataDxfId="32">
      <calculatedColumnFormula>IF(K2&lt;H2,"High",IF(K2&lt;=(H2+3),"Medium","Low"))</calculatedColumnFormula>
    </tableColumn>
    <tableColumn id="17" xr3:uid="{825E4736-D738-4516-8AB0-73B16C1EF71C}" name="Value_At_Risk" dataDxfId="31">
      <calculatedColumnFormula>IF(OR(M2="Critical",M2="Low"),N2,0)</calculatedColumnFormula>
    </tableColumn>
    <tableColumn id="18" xr3:uid="{F7574B3D-EED3-4203-8D2D-E56B0F593746}" name="Overstock_Flag" dataDxfId="30">
      <calculatedColumnFormula>IF(K2&gt;45,"Yes","No")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EF7F-067A-4579-8883-69BBDB09A5E7}">
  <dimension ref="A1:J101"/>
  <sheetViews>
    <sheetView topLeftCell="A24" zoomScale="76" workbookViewId="0">
      <selection activeCell="O8" sqref="O8"/>
    </sheetView>
  </sheetViews>
  <sheetFormatPr defaultRowHeight="14.4" x14ac:dyDescent="0.3"/>
  <cols>
    <col min="1" max="1" width="12" customWidth="1"/>
    <col min="2" max="2" width="16" bestFit="1" customWidth="1"/>
    <col min="3" max="3" width="14.5546875" bestFit="1" customWidth="1"/>
    <col min="4" max="4" width="15.5546875" bestFit="1" customWidth="1"/>
    <col min="5" max="5" width="14.6640625" customWidth="1"/>
    <col min="6" max="6" width="14.5546875" customWidth="1"/>
    <col min="7" max="7" width="16.109375" customWidth="1"/>
    <col min="8" max="8" width="16.5546875" customWidth="1"/>
    <col min="9" max="9" width="10.88671875" customWidth="1"/>
    <col min="10" max="10" width="18.44140625" customWidth="1"/>
  </cols>
  <sheetData>
    <row r="1" spans="1:10" x14ac:dyDescent="0.3">
      <c r="A1" t="s">
        <v>0</v>
      </c>
      <c r="B1" t="s">
        <v>1</v>
      </c>
      <c r="C1" t="s">
        <v>2</v>
      </c>
      <c r="D1" t="s">
        <v>3</v>
      </c>
      <c r="E1" s="3" t="s">
        <v>4</v>
      </c>
      <c r="F1" s="3" t="s">
        <v>5</v>
      </c>
      <c r="G1" s="3" t="s">
        <v>6</v>
      </c>
      <c r="H1" s="3" t="s">
        <v>7</v>
      </c>
      <c r="I1" s="2" t="s">
        <v>8</v>
      </c>
      <c r="J1" t="s">
        <v>9</v>
      </c>
    </row>
    <row r="2" spans="1:10" x14ac:dyDescent="0.3">
      <c r="A2" t="s">
        <v>10</v>
      </c>
      <c r="B2" t="s">
        <v>11</v>
      </c>
      <c r="C2" t="s">
        <v>12</v>
      </c>
      <c r="D2" t="s">
        <v>13</v>
      </c>
      <c r="E2">
        <v>120</v>
      </c>
      <c r="F2">
        <v>50</v>
      </c>
      <c r="G2">
        <v>8</v>
      </c>
      <c r="H2">
        <v>7</v>
      </c>
      <c r="I2">
        <v>800</v>
      </c>
      <c r="J2" s="1">
        <v>46063</v>
      </c>
    </row>
    <row r="3" spans="1:10" x14ac:dyDescent="0.3">
      <c r="A3" t="s">
        <v>14</v>
      </c>
      <c r="B3" t="s">
        <v>15</v>
      </c>
      <c r="C3" t="s">
        <v>12</v>
      </c>
      <c r="D3" t="s">
        <v>16</v>
      </c>
      <c r="E3">
        <v>60</v>
      </c>
      <c r="F3">
        <v>40</v>
      </c>
      <c r="G3">
        <v>6</v>
      </c>
      <c r="H3">
        <v>5</v>
      </c>
      <c r="I3">
        <v>900</v>
      </c>
      <c r="J3" s="1">
        <v>46071</v>
      </c>
    </row>
    <row r="4" spans="1:10" x14ac:dyDescent="0.3">
      <c r="A4" t="s">
        <v>17</v>
      </c>
      <c r="B4" t="s">
        <v>18</v>
      </c>
      <c r="C4" t="s">
        <v>19</v>
      </c>
      <c r="D4" t="s">
        <v>28</v>
      </c>
      <c r="E4">
        <v>200</v>
      </c>
      <c r="F4">
        <v>80</v>
      </c>
      <c r="G4">
        <v>15</v>
      </c>
      <c r="H4">
        <v>4</v>
      </c>
      <c r="I4">
        <v>120</v>
      </c>
      <c r="J4" s="1">
        <v>46082</v>
      </c>
    </row>
    <row r="5" spans="1:10" x14ac:dyDescent="0.3">
      <c r="A5" t="s">
        <v>21</v>
      </c>
      <c r="B5" t="s">
        <v>22</v>
      </c>
      <c r="C5" t="s">
        <v>23</v>
      </c>
      <c r="D5" t="s">
        <v>24</v>
      </c>
      <c r="E5">
        <v>40</v>
      </c>
      <c r="F5">
        <v>60</v>
      </c>
      <c r="G5">
        <v>10</v>
      </c>
      <c r="H5">
        <v>6</v>
      </c>
      <c r="I5">
        <v>250</v>
      </c>
      <c r="J5" s="1">
        <v>46078</v>
      </c>
    </row>
    <row r="6" spans="1:10" x14ac:dyDescent="0.3">
      <c r="A6" t="s">
        <v>25</v>
      </c>
      <c r="B6" t="s">
        <v>26</v>
      </c>
      <c r="C6" t="s">
        <v>27</v>
      </c>
      <c r="D6" t="s">
        <v>28</v>
      </c>
      <c r="E6">
        <v>90</v>
      </c>
      <c r="F6">
        <v>50</v>
      </c>
      <c r="G6">
        <v>12</v>
      </c>
      <c r="H6">
        <v>8</v>
      </c>
      <c r="I6">
        <v>300</v>
      </c>
      <c r="J6" s="1">
        <v>46068</v>
      </c>
    </row>
    <row r="7" spans="1:10" x14ac:dyDescent="0.3">
      <c r="A7" t="s">
        <v>29</v>
      </c>
      <c r="B7" t="s">
        <v>30</v>
      </c>
      <c r="C7" t="s">
        <v>31</v>
      </c>
      <c r="D7" t="s">
        <v>32</v>
      </c>
      <c r="E7">
        <v>300</v>
      </c>
      <c r="F7">
        <v>100</v>
      </c>
      <c r="G7">
        <v>20</v>
      </c>
      <c r="H7">
        <v>3</v>
      </c>
      <c r="I7">
        <v>50</v>
      </c>
      <c r="J7" s="1">
        <v>46086</v>
      </c>
    </row>
    <row r="8" spans="1:10" x14ac:dyDescent="0.3">
      <c r="A8" t="s">
        <v>33</v>
      </c>
      <c r="B8" t="s">
        <v>34</v>
      </c>
      <c r="C8" t="s">
        <v>35</v>
      </c>
      <c r="D8" t="s">
        <v>36</v>
      </c>
      <c r="E8">
        <v>35</v>
      </c>
      <c r="F8">
        <v>50</v>
      </c>
      <c r="G8">
        <v>9</v>
      </c>
      <c r="H8">
        <v>10</v>
      </c>
      <c r="I8">
        <v>150</v>
      </c>
      <c r="J8" s="1">
        <v>46073</v>
      </c>
    </row>
    <row r="9" spans="1:10" x14ac:dyDescent="0.3">
      <c r="A9" t="s">
        <v>37</v>
      </c>
      <c r="B9" t="s">
        <v>38</v>
      </c>
      <c r="C9" t="s">
        <v>19</v>
      </c>
      <c r="D9" t="s">
        <v>39</v>
      </c>
      <c r="E9">
        <v>180</v>
      </c>
      <c r="F9">
        <v>70</v>
      </c>
      <c r="G9">
        <v>11</v>
      </c>
      <c r="H9">
        <v>6</v>
      </c>
      <c r="I9">
        <v>200</v>
      </c>
      <c r="J9" s="1">
        <v>46083</v>
      </c>
    </row>
    <row r="10" spans="1:10" x14ac:dyDescent="0.3">
      <c r="A10" t="s">
        <v>40</v>
      </c>
      <c r="B10" t="s">
        <v>41</v>
      </c>
      <c r="C10" t="s">
        <v>23</v>
      </c>
      <c r="D10" t="s">
        <v>28</v>
      </c>
      <c r="E10">
        <v>75</v>
      </c>
      <c r="F10">
        <v>60</v>
      </c>
      <c r="G10">
        <v>14</v>
      </c>
      <c r="H10">
        <v>7</v>
      </c>
      <c r="I10">
        <v>180</v>
      </c>
      <c r="J10" s="1">
        <v>46075</v>
      </c>
    </row>
    <row r="11" spans="1:10" x14ac:dyDescent="0.3">
      <c r="A11" t="s">
        <v>42</v>
      </c>
      <c r="B11" t="s">
        <v>43</v>
      </c>
      <c r="C11" t="s">
        <v>27</v>
      </c>
      <c r="D11" t="s">
        <v>16</v>
      </c>
      <c r="E11">
        <v>55</v>
      </c>
      <c r="F11">
        <v>40</v>
      </c>
      <c r="G11">
        <v>7</v>
      </c>
      <c r="H11">
        <v>5</v>
      </c>
      <c r="I11">
        <v>220</v>
      </c>
      <c r="J11" s="1">
        <v>46081</v>
      </c>
    </row>
    <row r="12" spans="1:10" x14ac:dyDescent="0.3">
      <c r="A12" t="s">
        <v>44</v>
      </c>
      <c r="B12" t="s">
        <v>45</v>
      </c>
      <c r="C12" t="s">
        <v>12</v>
      </c>
      <c r="D12" t="s">
        <v>20</v>
      </c>
      <c r="E12">
        <v>45</v>
      </c>
      <c r="F12">
        <v>50</v>
      </c>
      <c r="G12">
        <v>5</v>
      </c>
      <c r="H12">
        <v>9</v>
      </c>
      <c r="I12">
        <v>1500</v>
      </c>
      <c r="J12" s="1">
        <v>46065</v>
      </c>
    </row>
    <row r="13" spans="1:10" x14ac:dyDescent="0.3">
      <c r="A13" t="s">
        <v>46</v>
      </c>
      <c r="B13" t="s">
        <v>47</v>
      </c>
      <c r="C13" t="s">
        <v>23</v>
      </c>
      <c r="D13" t="s">
        <v>36</v>
      </c>
      <c r="E13">
        <v>220</v>
      </c>
      <c r="F13">
        <v>100</v>
      </c>
      <c r="G13">
        <v>25</v>
      </c>
      <c r="H13">
        <v>4</v>
      </c>
      <c r="I13">
        <v>30</v>
      </c>
      <c r="J13" s="1">
        <v>46084</v>
      </c>
    </row>
    <row r="14" spans="1:10" x14ac:dyDescent="0.3">
      <c r="A14" t="s">
        <v>48</v>
      </c>
      <c r="B14" t="s">
        <v>49</v>
      </c>
      <c r="C14" t="s">
        <v>27</v>
      </c>
      <c r="D14" t="s">
        <v>39</v>
      </c>
      <c r="E14">
        <v>130</v>
      </c>
      <c r="F14">
        <v>60</v>
      </c>
      <c r="G14">
        <v>18</v>
      </c>
      <c r="H14">
        <v>6</v>
      </c>
      <c r="I14">
        <v>90</v>
      </c>
      <c r="J14" s="1">
        <v>46070</v>
      </c>
    </row>
    <row r="15" spans="1:10" x14ac:dyDescent="0.3">
      <c r="A15" t="s">
        <v>50</v>
      </c>
      <c r="B15" t="s">
        <v>51</v>
      </c>
      <c r="C15" t="s">
        <v>31</v>
      </c>
      <c r="D15" t="s">
        <v>32</v>
      </c>
      <c r="E15">
        <v>250</v>
      </c>
      <c r="F15">
        <v>120</v>
      </c>
      <c r="G15">
        <v>16</v>
      </c>
      <c r="H15">
        <v>3</v>
      </c>
      <c r="I15">
        <v>40</v>
      </c>
      <c r="J15" s="1">
        <v>46087</v>
      </c>
    </row>
    <row r="16" spans="1:10" x14ac:dyDescent="0.3">
      <c r="A16" t="s">
        <v>52</v>
      </c>
      <c r="B16" t="s">
        <v>53</v>
      </c>
      <c r="C16" t="s">
        <v>35</v>
      </c>
      <c r="D16" t="s">
        <v>36</v>
      </c>
      <c r="E16">
        <v>20</v>
      </c>
      <c r="F16">
        <v>40</v>
      </c>
      <c r="G16">
        <v>4</v>
      </c>
      <c r="H16">
        <v>12</v>
      </c>
      <c r="I16">
        <v>500</v>
      </c>
      <c r="J16" s="1">
        <v>46072</v>
      </c>
    </row>
    <row r="17" spans="1:10" x14ac:dyDescent="0.3">
      <c r="A17" t="s">
        <v>54</v>
      </c>
      <c r="B17" t="s">
        <v>55</v>
      </c>
      <c r="C17" t="s">
        <v>19</v>
      </c>
      <c r="D17" t="s">
        <v>39</v>
      </c>
      <c r="E17">
        <v>30</v>
      </c>
      <c r="F17">
        <v>50</v>
      </c>
      <c r="G17">
        <v>3</v>
      </c>
      <c r="H17">
        <v>10</v>
      </c>
      <c r="I17">
        <v>1200</v>
      </c>
      <c r="J17" s="1">
        <v>46067</v>
      </c>
    </row>
    <row r="18" spans="1:10" x14ac:dyDescent="0.3">
      <c r="A18" t="s">
        <v>56</v>
      </c>
      <c r="B18" t="s">
        <v>57</v>
      </c>
      <c r="C18" t="s">
        <v>23</v>
      </c>
      <c r="D18" t="s">
        <v>13</v>
      </c>
      <c r="E18">
        <v>140</v>
      </c>
      <c r="F18">
        <v>80</v>
      </c>
      <c r="G18">
        <v>22</v>
      </c>
      <c r="H18">
        <v>5</v>
      </c>
      <c r="I18">
        <v>20</v>
      </c>
      <c r="J18" s="1">
        <v>46082</v>
      </c>
    </row>
    <row r="19" spans="1:10" x14ac:dyDescent="0.3">
      <c r="A19" t="s">
        <v>58</v>
      </c>
      <c r="B19" t="s">
        <v>59</v>
      </c>
      <c r="C19" t="s">
        <v>27</v>
      </c>
      <c r="D19" t="s">
        <v>16</v>
      </c>
      <c r="E19">
        <v>85</v>
      </c>
      <c r="F19">
        <v>50</v>
      </c>
      <c r="G19">
        <v>10</v>
      </c>
      <c r="H19">
        <v>7</v>
      </c>
      <c r="I19">
        <v>350</v>
      </c>
      <c r="J19" s="1">
        <v>46076</v>
      </c>
    </row>
    <row r="20" spans="1:10" x14ac:dyDescent="0.3">
      <c r="A20" t="s">
        <v>60</v>
      </c>
      <c r="B20" t="s">
        <v>61</v>
      </c>
      <c r="C20" t="s">
        <v>31</v>
      </c>
      <c r="D20" t="s">
        <v>32</v>
      </c>
      <c r="E20">
        <v>160</v>
      </c>
      <c r="F20">
        <v>90</v>
      </c>
      <c r="G20">
        <v>19</v>
      </c>
      <c r="H20">
        <v>4</v>
      </c>
      <c r="I20">
        <v>300</v>
      </c>
      <c r="J20" s="1">
        <v>46085</v>
      </c>
    </row>
    <row r="21" spans="1:10" x14ac:dyDescent="0.3">
      <c r="A21" t="s">
        <v>62</v>
      </c>
      <c r="B21" t="s">
        <v>63</v>
      </c>
      <c r="C21" t="s">
        <v>35</v>
      </c>
      <c r="D21" t="s">
        <v>24</v>
      </c>
      <c r="E21">
        <v>25</v>
      </c>
      <c r="F21">
        <v>40</v>
      </c>
      <c r="G21">
        <v>5</v>
      </c>
      <c r="H21">
        <v>11</v>
      </c>
      <c r="I21">
        <v>250</v>
      </c>
      <c r="J21" s="1">
        <v>46069</v>
      </c>
    </row>
    <row r="22" spans="1:10" x14ac:dyDescent="0.3">
      <c r="A22" t="s">
        <v>64</v>
      </c>
      <c r="B22" t="s">
        <v>11</v>
      </c>
      <c r="C22" t="s">
        <v>12</v>
      </c>
      <c r="D22" t="s">
        <v>13</v>
      </c>
      <c r="E22">
        <v>253</v>
      </c>
      <c r="F22">
        <v>44</v>
      </c>
      <c r="G22">
        <v>253</v>
      </c>
      <c r="H22">
        <v>104</v>
      </c>
      <c r="I22">
        <v>800</v>
      </c>
      <c r="J22" s="1">
        <v>46063</v>
      </c>
    </row>
    <row r="23" spans="1:10" x14ac:dyDescent="0.3">
      <c r="A23" t="s">
        <v>65</v>
      </c>
      <c r="B23" t="s">
        <v>15</v>
      </c>
      <c r="C23" t="s">
        <v>12</v>
      </c>
      <c r="D23" t="s">
        <v>16</v>
      </c>
      <c r="E23">
        <v>110</v>
      </c>
      <c r="F23">
        <v>148</v>
      </c>
      <c r="G23">
        <v>92</v>
      </c>
      <c r="H23">
        <v>143</v>
      </c>
      <c r="I23">
        <v>900</v>
      </c>
      <c r="J23" s="1">
        <v>46071</v>
      </c>
    </row>
    <row r="24" spans="1:10" x14ac:dyDescent="0.3">
      <c r="A24" t="s">
        <v>66</v>
      </c>
      <c r="B24" t="s">
        <v>18</v>
      </c>
      <c r="C24" t="s">
        <v>19</v>
      </c>
      <c r="D24" t="s">
        <v>20</v>
      </c>
      <c r="E24">
        <v>82</v>
      </c>
      <c r="F24">
        <v>66</v>
      </c>
      <c r="G24">
        <v>284</v>
      </c>
      <c r="H24">
        <v>141</v>
      </c>
      <c r="I24">
        <v>120</v>
      </c>
      <c r="J24" s="1">
        <v>46082</v>
      </c>
    </row>
    <row r="25" spans="1:10" x14ac:dyDescent="0.3">
      <c r="A25" t="s">
        <v>67</v>
      </c>
      <c r="B25" t="s">
        <v>22</v>
      </c>
      <c r="C25" t="s">
        <v>23</v>
      </c>
      <c r="D25" t="s">
        <v>24</v>
      </c>
      <c r="E25">
        <v>102</v>
      </c>
      <c r="F25">
        <v>128</v>
      </c>
      <c r="G25">
        <v>162</v>
      </c>
      <c r="H25">
        <v>286</v>
      </c>
      <c r="I25">
        <v>250</v>
      </c>
      <c r="J25" s="1">
        <v>46078</v>
      </c>
    </row>
    <row r="26" spans="1:10" x14ac:dyDescent="0.3">
      <c r="A26" t="s">
        <v>68</v>
      </c>
      <c r="B26" t="s">
        <v>26</v>
      </c>
      <c r="C26" t="s">
        <v>27</v>
      </c>
      <c r="D26" t="s">
        <v>28</v>
      </c>
      <c r="E26">
        <v>213</v>
      </c>
      <c r="F26">
        <v>225</v>
      </c>
      <c r="G26">
        <v>129</v>
      </c>
      <c r="H26">
        <v>123</v>
      </c>
      <c r="I26">
        <v>300</v>
      </c>
      <c r="J26" s="1">
        <v>46068</v>
      </c>
    </row>
    <row r="27" spans="1:10" x14ac:dyDescent="0.3">
      <c r="A27" t="s">
        <v>69</v>
      </c>
      <c r="B27" t="s">
        <v>30</v>
      </c>
      <c r="C27" t="s">
        <v>31</v>
      </c>
      <c r="D27" t="s">
        <v>39</v>
      </c>
      <c r="E27">
        <v>274</v>
      </c>
      <c r="F27">
        <v>112</v>
      </c>
      <c r="G27">
        <v>244</v>
      </c>
      <c r="H27">
        <v>287</v>
      </c>
      <c r="I27">
        <v>50</v>
      </c>
      <c r="J27" s="1">
        <v>46086</v>
      </c>
    </row>
    <row r="28" spans="1:10" x14ac:dyDescent="0.3">
      <c r="A28" t="s">
        <v>70</v>
      </c>
      <c r="B28" t="s">
        <v>34</v>
      </c>
      <c r="C28" t="s">
        <v>35</v>
      </c>
      <c r="D28" t="s">
        <v>36</v>
      </c>
      <c r="E28">
        <v>210</v>
      </c>
      <c r="F28">
        <v>17</v>
      </c>
      <c r="G28">
        <v>92</v>
      </c>
      <c r="H28">
        <v>198</v>
      </c>
      <c r="I28">
        <v>150</v>
      </c>
      <c r="J28" s="1">
        <v>46073</v>
      </c>
    </row>
    <row r="29" spans="1:10" x14ac:dyDescent="0.3">
      <c r="A29" t="s">
        <v>71</v>
      </c>
      <c r="B29" t="s">
        <v>38</v>
      </c>
      <c r="C29" t="s">
        <v>19</v>
      </c>
      <c r="D29" t="s">
        <v>36</v>
      </c>
      <c r="E29">
        <v>240</v>
      </c>
      <c r="F29">
        <v>139</v>
      </c>
      <c r="G29">
        <v>200</v>
      </c>
      <c r="H29">
        <v>79</v>
      </c>
      <c r="I29">
        <v>200</v>
      </c>
      <c r="J29" s="1">
        <v>46083</v>
      </c>
    </row>
    <row r="30" spans="1:10" x14ac:dyDescent="0.3">
      <c r="A30" t="s">
        <v>72</v>
      </c>
      <c r="B30" t="s">
        <v>41</v>
      </c>
      <c r="C30" t="s">
        <v>23</v>
      </c>
      <c r="D30" t="s">
        <v>24</v>
      </c>
      <c r="E30">
        <v>30</v>
      </c>
      <c r="F30">
        <v>60</v>
      </c>
      <c r="G30">
        <v>8</v>
      </c>
      <c r="H30">
        <v>7</v>
      </c>
      <c r="I30">
        <v>180</v>
      </c>
      <c r="J30" s="1">
        <v>46075</v>
      </c>
    </row>
    <row r="31" spans="1:10" x14ac:dyDescent="0.3">
      <c r="A31" t="s">
        <v>73</v>
      </c>
      <c r="B31" t="s">
        <v>43</v>
      </c>
      <c r="C31" t="s">
        <v>27</v>
      </c>
      <c r="D31" t="s">
        <v>16</v>
      </c>
      <c r="E31">
        <v>25</v>
      </c>
      <c r="F31">
        <v>50</v>
      </c>
      <c r="G31">
        <v>5</v>
      </c>
      <c r="H31">
        <v>15</v>
      </c>
      <c r="I31">
        <v>220</v>
      </c>
      <c r="J31" s="1">
        <v>46081</v>
      </c>
    </row>
    <row r="32" spans="1:10" x14ac:dyDescent="0.3">
      <c r="A32" t="s">
        <v>74</v>
      </c>
      <c r="B32" t="s">
        <v>45</v>
      </c>
      <c r="C32" t="s">
        <v>12</v>
      </c>
      <c r="D32" t="s">
        <v>20</v>
      </c>
      <c r="E32">
        <v>300</v>
      </c>
      <c r="F32">
        <v>80</v>
      </c>
      <c r="G32">
        <v>2</v>
      </c>
      <c r="H32">
        <v>5</v>
      </c>
      <c r="I32">
        <v>1500</v>
      </c>
      <c r="J32" s="1">
        <v>46065</v>
      </c>
    </row>
    <row r="33" spans="1:10" x14ac:dyDescent="0.3">
      <c r="A33" t="s">
        <v>75</v>
      </c>
      <c r="B33" t="s">
        <v>47</v>
      </c>
      <c r="C33" t="s">
        <v>23</v>
      </c>
      <c r="D33" t="s">
        <v>36</v>
      </c>
      <c r="E33">
        <v>200</v>
      </c>
      <c r="F33">
        <v>70</v>
      </c>
      <c r="G33">
        <v>6</v>
      </c>
      <c r="H33">
        <v>4</v>
      </c>
      <c r="I33">
        <v>30</v>
      </c>
      <c r="J33" s="1">
        <v>46084</v>
      </c>
    </row>
    <row r="34" spans="1:10" x14ac:dyDescent="0.3">
      <c r="A34" t="s">
        <v>76</v>
      </c>
      <c r="B34" t="s">
        <v>49</v>
      </c>
      <c r="C34" t="s">
        <v>27</v>
      </c>
      <c r="D34" t="s">
        <v>28</v>
      </c>
      <c r="E34">
        <v>277</v>
      </c>
      <c r="F34">
        <v>135</v>
      </c>
      <c r="G34">
        <v>137</v>
      </c>
      <c r="H34">
        <v>290</v>
      </c>
      <c r="I34">
        <v>90</v>
      </c>
      <c r="J34" s="1">
        <v>46070</v>
      </c>
    </row>
    <row r="35" spans="1:10" x14ac:dyDescent="0.3">
      <c r="A35" t="s">
        <v>77</v>
      </c>
      <c r="B35" t="s">
        <v>51</v>
      </c>
      <c r="C35" t="s">
        <v>31</v>
      </c>
      <c r="D35" t="s">
        <v>32</v>
      </c>
      <c r="E35">
        <v>171</v>
      </c>
      <c r="F35">
        <v>153</v>
      </c>
      <c r="G35">
        <v>216</v>
      </c>
      <c r="H35">
        <v>189</v>
      </c>
      <c r="I35">
        <v>40</v>
      </c>
      <c r="J35" s="1">
        <v>46087</v>
      </c>
    </row>
    <row r="36" spans="1:10" x14ac:dyDescent="0.3">
      <c r="A36" t="s">
        <v>78</v>
      </c>
      <c r="B36" t="s">
        <v>53</v>
      </c>
      <c r="C36" t="s">
        <v>35</v>
      </c>
      <c r="D36" t="s">
        <v>36</v>
      </c>
      <c r="E36">
        <v>53</v>
      </c>
      <c r="F36">
        <v>250</v>
      </c>
      <c r="G36">
        <v>260</v>
      </c>
      <c r="H36">
        <v>88</v>
      </c>
      <c r="I36">
        <v>500</v>
      </c>
      <c r="J36" s="1">
        <v>46072</v>
      </c>
    </row>
    <row r="37" spans="1:10" x14ac:dyDescent="0.3">
      <c r="A37" t="s">
        <v>79</v>
      </c>
      <c r="B37" t="s">
        <v>55</v>
      </c>
      <c r="C37" t="s">
        <v>19</v>
      </c>
      <c r="D37" t="s">
        <v>20</v>
      </c>
      <c r="E37">
        <v>166</v>
      </c>
      <c r="F37">
        <v>264</v>
      </c>
      <c r="G37">
        <v>159</v>
      </c>
      <c r="H37">
        <v>216</v>
      </c>
      <c r="I37">
        <v>1200</v>
      </c>
      <c r="J37" s="1">
        <v>46067</v>
      </c>
    </row>
    <row r="38" spans="1:10" x14ac:dyDescent="0.3">
      <c r="A38" t="s">
        <v>80</v>
      </c>
      <c r="B38" t="s">
        <v>57</v>
      </c>
      <c r="C38" t="s">
        <v>23</v>
      </c>
      <c r="D38" t="s">
        <v>13</v>
      </c>
      <c r="E38">
        <v>70</v>
      </c>
      <c r="F38">
        <v>252</v>
      </c>
      <c r="G38">
        <v>148</v>
      </c>
      <c r="H38">
        <v>204</v>
      </c>
      <c r="I38">
        <v>20</v>
      </c>
      <c r="J38" s="1">
        <v>46082</v>
      </c>
    </row>
    <row r="39" spans="1:10" x14ac:dyDescent="0.3">
      <c r="A39" t="s">
        <v>81</v>
      </c>
      <c r="B39" t="s">
        <v>59</v>
      </c>
      <c r="C39" t="s">
        <v>27</v>
      </c>
      <c r="D39" t="s">
        <v>16</v>
      </c>
      <c r="E39">
        <v>219</v>
      </c>
      <c r="F39">
        <v>196</v>
      </c>
      <c r="G39">
        <v>96</v>
      </c>
      <c r="H39">
        <v>24</v>
      </c>
      <c r="I39">
        <v>350</v>
      </c>
      <c r="J39" s="1">
        <v>46076</v>
      </c>
    </row>
    <row r="40" spans="1:10" x14ac:dyDescent="0.3">
      <c r="A40" t="s">
        <v>82</v>
      </c>
      <c r="B40" t="s">
        <v>61</v>
      </c>
      <c r="C40" t="s">
        <v>31</v>
      </c>
      <c r="D40" t="s">
        <v>28</v>
      </c>
      <c r="E40">
        <v>138</v>
      </c>
      <c r="F40">
        <v>212</v>
      </c>
      <c r="G40">
        <v>88</v>
      </c>
      <c r="H40">
        <v>274</v>
      </c>
      <c r="I40">
        <v>300</v>
      </c>
      <c r="J40" s="1">
        <v>46085</v>
      </c>
    </row>
    <row r="41" spans="1:10" x14ac:dyDescent="0.3">
      <c r="A41" t="s">
        <v>83</v>
      </c>
      <c r="B41" t="s">
        <v>63</v>
      </c>
      <c r="C41" t="s">
        <v>35</v>
      </c>
      <c r="D41" t="s">
        <v>16</v>
      </c>
      <c r="E41">
        <v>132</v>
      </c>
      <c r="F41">
        <v>42</v>
      </c>
      <c r="G41">
        <v>91</v>
      </c>
      <c r="H41">
        <v>19</v>
      </c>
      <c r="I41">
        <v>250</v>
      </c>
      <c r="J41" s="1">
        <v>46069</v>
      </c>
    </row>
    <row r="42" spans="1:10" x14ac:dyDescent="0.3">
      <c r="A42" t="s">
        <v>84</v>
      </c>
      <c r="B42" t="s">
        <v>11</v>
      </c>
      <c r="C42" t="s">
        <v>12</v>
      </c>
      <c r="D42" t="s">
        <v>24</v>
      </c>
      <c r="E42">
        <v>10</v>
      </c>
      <c r="F42">
        <v>183</v>
      </c>
      <c r="G42">
        <v>189</v>
      </c>
      <c r="H42">
        <v>119</v>
      </c>
      <c r="I42">
        <v>800</v>
      </c>
      <c r="J42" s="1">
        <v>46063</v>
      </c>
    </row>
    <row r="43" spans="1:10" x14ac:dyDescent="0.3">
      <c r="A43" t="s">
        <v>85</v>
      </c>
      <c r="B43" t="s">
        <v>15</v>
      </c>
      <c r="C43" t="s">
        <v>12</v>
      </c>
      <c r="D43" t="s">
        <v>28</v>
      </c>
      <c r="E43">
        <v>270</v>
      </c>
      <c r="F43">
        <v>75</v>
      </c>
      <c r="G43">
        <v>253</v>
      </c>
      <c r="H43">
        <v>241</v>
      </c>
      <c r="I43">
        <v>900</v>
      </c>
      <c r="J43" s="1">
        <v>46071</v>
      </c>
    </row>
    <row r="44" spans="1:10" x14ac:dyDescent="0.3">
      <c r="A44" t="s">
        <v>86</v>
      </c>
      <c r="B44" t="s">
        <v>18</v>
      </c>
      <c r="C44" t="s">
        <v>19</v>
      </c>
      <c r="D44" t="s">
        <v>20</v>
      </c>
      <c r="E44">
        <v>133</v>
      </c>
      <c r="F44">
        <v>232</v>
      </c>
      <c r="G44">
        <v>102</v>
      </c>
      <c r="H44">
        <v>187</v>
      </c>
      <c r="I44">
        <v>120</v>
      </c>
      <c r="J44" s="1">
        <v>46082</v>
      </c>
    </row>
    <row r="45" spans="1:10" x14ac:dyDescent="0.3">
      <c r="A45" t="s">
        <v>87</v>
      </c>
      <c r="B45" t="s">
        <v>22</v>
      </c>
      <c r="C45" t="s">
        <v>23</v>
      </c>
      <c r="D45" t="s">
        <v>24</v>
      </c>
      <c r="E45">
        <v>35</v>
      </c>
      <c r="F45">
        <v>70</v>
      </c>
      <c r="G45">
        <v>9</v>
      </c>
      <c r="H45">
        <v>6</v>
      </c>
      <c r="I45">
        <v>250</v>
      </c>
      <c r="J45" s="1">
        <v>46078</v>
      </c>
    </row>
    <row r="46" spans="1:10" x14ac:dyDescent="0.3">
      <c r="A46" t="s">
        <v>88</v>
      </c>
      <c r="B46" t="s">
        <v>26</v>
      </c>
      <c r="C46" t="s">
        <v>27</v>
      </c>
      <c r="D46" t="s">
        <v>28</v>
      </c>
      <c r="E46">
        <v>20</v>
      </c>
      <c r="F46">
        <v>45</v>
      </c>
      <c r="G46">
        <v>4</v>
      </c>
      <c r="H46">
        <v>14</v>
      </c>
      <c r="I46">
        <v>300</v>
      </c>
      <c r="J46" s="1">
        <v>46068</v>
      </c>
    </row>
    <row r="47" spans="1:10" x14ac:dyDescent="0.3">
      <c r="A47" t="s">
        <v>89</v>
      </c>
      <c r="B47" t="s">
        <v>30</v>
      </c>
      <c r="C47" t="s">
        <v>31</v>
      </c>
      <c r="D47" t="s">
        <v>32</v>
      </c>
      <c r="E47">
        <v>280</v>
      </c>
      <c r="F47">
        <v>75</v>
      </c>
      <c r="G47">
        <v>7</v>
      </c>
      <c r="H47">
        <v>4</v>
      </c>
      <c r="I47">
        <v>50</v>
      </c>
      <c r="J47" s="1">
        <v>46086</v>
      </c>
    </row>
    <row r="48" spans="1:10" x14ac:dyDescent="0.3">
      <c r="A48" t="s">
        <v>90</v>
      </c>
      <c r="B48" t="s">
        <v>34</v>
      </c>
      <c r="C48" t="s">
        <v>35</v>
      </c>
      <c r="D48" t="s">
        <v>36</v>
      </c>
      <c r="E48">
        <v>162</v>
      </c>
      <c r="F48">
        <v>183</v>
      </c>
      <c r="G48">
        <v>124</v>
      </c>
      <c r="H48">
        <v>184</v>
      </c>
      <c r="I48">
        <v>150</v>
      </c>
      <c r="J48" s="1">
        <v>46073</v>
      </c>
    </row>
    <row r="49" spans="1:10" x14ac:dyDescent="0.3">
      <c r="A49" t="s">
        <v>91</v>
      </c>
      <c r="B49" t="s">
        <v>38</v>
      </c>
      <c r="C49" t="s">
        <v>19</v>
      </c>
      <c r="D49" t="s">
        <v>39</v>
      </c>
      <c r="E49">
        <v>160</v>
      </c>
      <c r="F49">
        <v>245</v>
      </c>
      <c r="G49">
        <v>179</v>
      </c>
      <c r="H49">
        <v>88</v>
      </c>
      <c r="I49">
        <v>200</v>
      </c>
      <c r="J49" s="1">
        <v>46083</v>
      </c>
    </row>
    <row r="50" spans="1:10" x14ac:dyDescent="0.3">
      <c r="A50" t="s">
        <v>92</v>
      </c>
      <c r="B50" t="s">
        <v>41</v>
      </c>
      <c r="C50" t="s">
        <v>23</v>
      </c>
      <c r="D50" t="s">
        <v>36</v>
      </c>
      <c r="E50">
        <v>162</v>
      </c>
      <c r="F50">
        <v>146</v>
      </c>
      <c r="G50">
        <v>57</v>
      </c>
      <c r="H50">
        <v>232</v>
      </c>
      <c r="I50">
        <v>180</v>
      </c>
      <c r="J50" s="1">
        <v>46075</v>
      </c>
    </row>
    <row r="51" spans="1:10" x14ac:dyDescent="0.3">
      <c r="A51" t="s">
        <v>93</v>
      </c>
      <c r="B51" t="s">
        <v>43</v>
      </c>
      <c r="C51" t="s">
        <v>27</v>
      </c>
      <c r="D51" t="s">
        <v>16</v>
      </c>
      <c r="E51">
        <v>98</v>
      </c>
      <c r="F51">
        <v>173</v>
      </c>
      <c r="G51">
        <v>217</v>
      </c>
      <c r="H51">
        <v>73</v>
      </c>
      <c r="I51">
        <v>220</v>
      </c>
      <c r="J51" s="1">
        <v>46081</v>
      </c>
    </row>
    <row r="52" spans="1:10" x14ac:dyDescent="0.3">
      <c r="A52" t="s">
        <v>94</v>
      </c>
      <c r="B52" t="s">
        <v>45</v>
      </c>
      <c r="C52" t="s">
        <v>12</v>
      </c>
      <c r="D52" t="s">
        <v>20</v>
      </c>
      <c r="E52">
        <v>58</v>
      </c>
      <c r="F52">
        <v>94</v>
      </c>
      <c r="G52">
        <v>83</v>
      </c>
      <c r="H52">
        <v>98</v>
      </c>
      <c r="I52">
        <v>1500</v>
      </c>
      <c r="J52" s="1">
        <v>46065</v>
      </c>
    </row>
    <row r="53" spans="1:10" x14ac:dyDescent="0.3">
      <c r="A53" t="s">
        <v>95</v>
      </c>
      <c r="B53" t="s">
        <v>47</v>
      </c>
      <c r="C53" t="s">
        <v>23</v>
      </c>
      <c r="D53" t="s">
        <v>24</v>
      </c>
      <c r="E53">
        <v>25</v>
      </c>
      <c r="F53">
        <v>33</v>
      </c>
      <c r="G53">
        <v>157</v>
      </c>
      <c r="H53">
        <v>177</v>
      </c>
      <c r="I53">
        <v>30</v>
      </c>
      <c r="J53" s="1">
        <v>46084</v>
      </c>
    </row>
    <row r="54" spans="1:10" x14ac:dyDescent="0.3">
      <c r="A54" t="s">
        <v>96</v>
      </c>
      <c r="B54" t="s">
        <v>49</v>
      </c>
      <c r="C54" t="s">
        <v>27</v>
      </c>
      <c r="D54" t="s">
        <v>28</v>
      </c>
      <c r="E54">
        <v>48</v>
      </c>
      <c r="F54">
        <v>101</v>
      </c>
      <c r="G54">
        <v>272</v>
      </c>
      <c r="H54">
        <v>171</v>
      </c>
      <c r="I54">
        <v>90</v>
      </c>
      <c r="J54" s="1">
        <v>46070</v>
      </c>
    </row>
    <row r="55" spans="1:10" x14ac:dyDescent="0.3">
      <c r="A55" t="s">
        <v>97</v>
      </c>
      <c r="B55" t="s">
        <v>51</v>
      </c>
      <c r="C55" t="s">
        <v>31</v>
      </c>
      <c r="D55" t="s">
        <v>24</v>
      </c>
      <c r="E55">
        <v>161</v>
      </c>
      <c r="F55">
        <v>55</v>
      </c>
      <c r="G55">
        <v>166</v>
      </c>
      <c r="H55">
        <v>159</v>
      </c>
      <c r="I55">
        <v>40</v>
      </c>
      <c r="J55" s="1">
        <v>46087</v>
      </c>
    </row>
    <row r="56" spans="1:10" x14ac:dyDescent="0.3">
      <c r="A56" t="s">
        <v>98</v>
      </c>
      <c r="B56" t="s">
        <v>53</v>
      </c>
      <c r="C56" t="s">
        <v>35</v>
      </c>
      <c r="D56" t="s">
        <v>36</v>
      </c>
      <c r="E56">
        <v>227</v>
      </c>
      <c r="F56">
        <v>210</v>
      </c>
      <c r="G56">
        <v>17</v>
      </c>
      <c r="H56">
        <v>187</v>
      </c>
      <c r="I56">
        <v>500</v>
      </c>
      <c r="J56" s="1">
        <v>46072</v>
      </c>
    </row>
    <row r="57" spans="1:10" x14ac:dyDescent="0.3">
      <c r="A57" t="s">
        <v>99</v>
      </c>
      <c r="B57" t="s">
        <v>55</v>
      </c>
      <c r="C57" t="s">
        <v>19</v>
      </c>
      <c r="D57" t="s">
        <v>39</v>
      </c>
      <c r="E57">
        <v>274</v>
      </c>
      <c r="F57">
        <v>37</v>
      </c>
      <c r="G57">
        <v>212</v>
      </c>
      <c r="H57">
        <v>48</v>
      </c>
      <c r="I57">
        <v>1200</v>
      </c>
      <c r="J57" s="1">
        <v>46067</v>
      </c>
    </row>
    <row r="58" spans="1:10" x14ac:dyDescent="0.3">
      <c r="A58" t="s">
        <v>100</v>
      </c>
      <c r="B58" t="s">
        <v>57</v>
      </c>
      <c r="C58" t="s">
        <v>23</v>
      </c>
      <c r="D58" t="s">
        <v>13</v>
      </c>
      <c r="E58">
        <v>250</v>
      </c>
      <c r="F58">
        <v>151</v>
      </c>
      <c r="G58">
        <v>83</v>
      </c>
      <c r="H58">
        <v>155</v>
      </c>
      <c r="I58">
        <v>20</v>
      </c>
      <c r="J58" s="1">
        <v>46082</v>
      </c>
    </row>
    <row r="59" spans="1:10" x14ac:dyDescent="0.3">
      <c r="A59" t="s">
        <v>101</v>
      </c>
      <c r="B59" t="s">
        <v>59</v>
      </c>
      <c r="C59" t="s">
        <v>27</v>
      </c>
      <c r="D59" t="s">
        <v>16</v>
      </c>
      <c r="E59">
        <v>177</v>
      </c>
      <c r="F59">
        <v>181</v>
      </c>
      <c r="G59">
        <v>170</v>
      </c>
      <c r="H59">
        <v>64</v>
      </c>
      <c r="I59">
        <v>350</v>
      </c>
      <c r="J59" s="1">
        <v>46076</v>
      </c>
    </row>
    <row r="60" spans="1:10" x14ac:dyDescent="0.3">
      <c r="A60" t="s">
        <v>102</v>
      </c>
      <c r="B60" t="s">
        <v>61</v>
      </c>
      <c r="C60" t="s">
        <v>31</v>
      </c>
      <c r="D60" t="s">
        <v>13</v>
      </c>
      <c r="E60">
        <v>28</v>
      </c>
      <c r="F60">
        <v>65</v>
      </c>
      <c r="G60">
        <v>6</v>
      </c>
      <c r="H60">
        <v>8</v>
      </c>
      <c r="I60">
        <v>300</v>
      </c>
      <c r="J60" s="1">
        <v>46085</v>
      </c>
    </row>
    <row r="61" spans="1:10" x14ac:dyDescent="0.3">
      <c r="A61" t="s">
        <v>103</v>
      </c>
      <c r="B61" t="s">
        <v>63</v>
      </c>
      <c r="C61" t="s">
        <v>35</v>
      </c>
      <c r="D61" t="s">
        <v>24</v>
      </c>
      <c r="E61">
        <v>22</v>
      </c>
      <c r="F61">
        <v>50</v>
      </c>
      <c r="G61">
        <v>5</v>
      </c>
      <c r="H61">
        <v>13</v>
      </c>
      <c r="I61">
        <v>250</v>
      </c>
      <c r="J61" s="1">
        <v>46069</v>
      </c>
    </row>
    <row r="62" spans="1:10" x14ac:dyDescent="0.3">
      <c r="A62" t="s">
        <v>104</v>
      </c>
      <c r="B62" t="s">
        <v>11</v>
      </c>
      <c r="C62" t="s">
        <v>12</v>
      </c>
      <c r="D62" t="s">
        <v>13</v>
      </c>
      <c r="E62">
        <v>310</v>
      </c>
      <c r="F62">
        <v>85</v>
      </c>
      <c r="G62">
        <v>2</v>
      </c>
      <c r="H62">
        <v>6</v>
      </c>
      <c r="I62">
        <v>800</v>
      </c>
      <c r="J62" s="1">
        <v>46063</v>
      </c>
    </row>
    <row r="63" spans="1:10" x14ac:dyDescent="0.3">
      <c r="A63" t="s">
        <v>105</v>
      </c>
      <c r="B63" t="s">
        <v>15</v>
      </c>
      <c r="C63" t="s">
        <v>12</v>
      </c>
      <c r="D63" t="s">
        <v>28</v>
      </c>
      <c r="E63">
        <v>210</v>
      </c>
      <c r="F63">
        <v>80</v>
      </c>
      <c r="G63">
        <v>6</v>
      </c>
      <c r="H63">
        <v>3</v>
      </c>
      <c r="I63">
        <v>900</v>
      </c>
      <c r="J63" s="1">
        <v>46071</v>
      </c>
    </row>
    <row r="64" spans="1:10" x14ac:dyDescent="0.3">
      <c r="A64" t="s">
        <v>106</v>
      </c>
      <c r="B64" t="s">
        <v>18</v>
      </c>
      <c r="C64" t="s">
        <v>19</v>
      </c>
      <c r="D64" t="s">
        <v>20</v>
      </c>
      <c r="E64">
        <v>241</v>
      </c>
      <c r="F64">
        <v>56</v>
      </c>
      <c r="G64">
        <v>46</v>
      </c>
      <c r="H64">
        <v>300</v>
      </c>
      <c r="I64">
        <v>120</v>
      </c>
      <c r="J64" s="1">
        <v>46082</v>
      </c>
    </row>
    <row r="65" spans="1:10" x14ac:dyDescent="0.3">
      <c r="A65" t="s">
        <v>107</v>
      </c>
      <c r="B65" t="s">
        <v>22</v>
      </c>
      <c r="C65" t="s">
        <v>23</v>
      </c>
      <c r="D65" t="s">
        <v>24</v>
      </c>
      <c r="E65">
        <v>37</v>
      </c>
      <c r="F65">
        <v>75</v>
      </c>
      <c r="G65">
        <v>198</v>
      </c>
      <c r="H65">
        <v>140</v>
      </c>
      <c r="I65">
        <v>250</v>
      </c>
      <c r="J65" s="1">
        <v>46078</v>
      </c>
    </row>
    <row r="66" spans="1:10" x14ac:dyDescent="0.3">
      <c r="A66" t="s">
        <v>108</v>
      </c>
      <c r="B66" t="s">
        <v>26</v>
      </c>
      <c r="C66" t="s">
        <v>27</v>
      </c>
      <c r="D66" t="s">
        <v>28</v>
      </c>
      <c r="E66">
        <v>254</v>
      </c>
      <c r="F66">
        <v>25</v>
      </c>
      <c r="G66">
        <v>179</v>
      </c>
      <c r="H66">
        <v>91</v>
      </c>
      <c r="I66">
        <v>300</v>
      </c>
      <c r="J66" s="1">
        <v>46068</v>
      </c>
    </row>
    <row r="67" spans="1:10" x14ac:dyDescent="0.3">
      <c r="A67" t="s">
        <v>109</v>
      </c>
      <c r="B67" t="s">
        <v>30</v>
      </c>
      <c r="C67" t="s">
        <v>31</v>
      </c>
      <c r="D67" t="s">
        <v>32</v>
      </c>
      <c r="E67">
        <v>25</v>
      </c>
      <c r="F67">
        <v>153</v>
      </c>
      <c r="G67">
        <v>236</v>
      </c>
      <c r="H67">
        <v>247</v>
      </c>
      <c r="I67">
        <v>50</v>
      </c>
      <c r="J67" s="1">
        <v>46086</v>
      </c>
    </row>
    <row r="68" spans="1:10" x14ac:dyDescent="0.3">
      <c r="A68" t="s">
        <v>110</v>
      </c>
      <c r="B68" t="s">
        <v>34</v>
      </c>
      <c r="C68" t="s">
        <v>35</v>
      </c>
      <c r="D68" t="s">
        <v>36</v>
      </c>
      <c r="E68">
        <v>154</v>
      </c>
      <c r="F68">
        <v>142</v>
      </c>
      <c r="G68">
        <v>203</v>
      </c>
      <c r="H68">
        <v>33</v>
      </c>
      <c r="I68">
        <v>150</v>
      </c>
      <c r="J68" s="1">
        <v>46073</v>
      </c>
    </row>
    <row r="69" spans="1:10" x14ac:dyDescent="0.3">
      <c r="A69" t="s">
        <v>111</v>
      </c>
      <c r="B69" t="s">
        <v>38</v>
      </c>
      <c r="C69" t="s">
        <v>19</v>
      </c>
      <c r="D69" t="s">
        <v>13</v>
      </c>
      <c r="E69">
        <v>52</v>
      </c>
      <c r="F69">
        <v>198</v>
      </c>
      <c r="G69">
        <v>266</v>
      </c>
      <c r="H69">
        <v>273</v>
      </c>
      <c r="I69">
        <v>200</v>
      </c>
      <c r="J69" s="1">
        <v>46083</v>
      </c>
    </row>
    <row r="70" spans="1:10" x14ac:dyDescent="0.3">
      <c r="A70" t="s">
        <v>112</v>
      </c>
      <c r="B70" t="s">
        <v>41</v>
      </c>
      <c r="C70" t="s">
        <v>23</v>
      </c>
      <c r="D70" t="s">
        <v>32</v>
      </c>
      <c r="E70">
        <v>63</v>
      </c>
      <c r="F70">
        <v>170</v>
      </c>
      <c r="G70">
        <v>265</v>
      </c>
      <c r="H70">
        <v>215</v>
      </c>
      <c r="I70">
        <v>180</v>
      </c>
      <c r="J70" s="1">
        <v>46075</v>
      </c>
    </row>
    <row r="71" spans="1:10" x14ac:dyDescent="0.3">
      <c r="A71" t="s">
        <v>113</v>
      </c>
      <c r="B71" t="s">
        <v>43</v>
      </c>
      <c r="C71" t="s">
        <v>27</v>
      </c>
      <c r="D71" t="s">
        <v>16</v>
      </c>
      <c r="E71">
        <v>292</v>
      </c>
      <c r="F71">
        <v>167</v>
      </c>
      <c r="G71">
        <v>53</v>
      </c>
      <c r="H71">
        <v>118</v>
      </c>
      <c r="I71">
        <v>220</v>
      </c>
      <c r="J71" s="1">
        <v>46081</v>
      </c>
    </row>
    <row r="72" spans="1:10" x14ac:dyDescent="0.3">
      <c r="A72" t="s">
        <v>114</v>
      </c>
      <c r="B72" t="s">
        <v>45</v>
      </c>
      <c r="C72" t="s">
        <v>12</v>
      </c>
      <c r="D72" t="s">
        <v>20</v>
      </c>
      <c r="E72">
        <v>33</v>
      </c>
      <c r="F72">
        <v>38</v>
      </c>
      <c r="G72">
        <v>178</v>
      </c>
      <c r="H72">
        <v>95</v>
      </c>
      <c r="I72">
        <v>1500</v>
      </c>
      <c r="J72" s="1">
        <v>46065</v>
      </c>
    </row>
    <row r="73" spans="1:10" x14ac:dyDescent="0.3">
      <c r="A73" t="s">
        <v>115</v>
      </c>
      <c r="B73" t="s">
        <v>47</v>
      </c>
      <c r="C73" t="s">
        <v>23</v>
      </c>
      <c r="D73" t="s">
        <v>24</v>
      </c>
      <c r="E73">
        <v>207</v>
      </c>
      <c r="F73">
        <v>92</v>
      </c>
      <c r="G73">
        <v>167</v>
      </c>
      <c r="H73">
        <v>14</v>
      </c>
      <c r="I73">
        <v>30</v>
      </c>
      <c r="J73" s="1">
        <v>46084</v>
      </c>
    </row>
    <row r="74" spans="1:10" x14ac:dyDescent="0.3">
      <c r="A74" t="s">
        <v>116</v>
      </c>
      <c r="B74" t="s">
        <v>49</v>
      </c>
      <c r="C74" t="s">
        <v>27</v>
      </c>
      <c r="D74" t="s">
        <v>36</v>
      </c>
      <c r="E74">
        <v>296</v>
      </c>
      <c r="F74">
        <v>288</v>
      </c>
      <c r="G74">
        <v>198</v>
      </c>
      <c r="H74">
        <v>86</v>
      </c>
      <c r="I74">
        <v>90</v>
      </c>
      <c r="J74" s="1">
        <v>46070</v>
      </c>
    </row>
    <row r="75" spans="1:10" x14ac:dyDescent="0.3">
      <c r="A75" t="s">
        <v>117</v>
      </c>
      <c r="B75" t="s">
        <v>51</v>
      </c>
      <c r="C75" t="s">
        <v>31</v>
      </c>
      <c r="D75" t="s">
        <v>32</v>
      </c>
      <c r="E75">
        <v>89</v>
      </c>
      <c r="F75">
        <v>247</v>
      </c>
      <c r="G75">
        <v>151</v>
      </c>
      <c r="H75">
        <v>96</v>
      </c>
      <c r="I75">
        <v>40</v>
      </c>
      <c r="J75" s="1">
        <v>46087</v>
      </c>
    </row>
    <row r="76" spans="1:10" x14ac:dyDescent="0.3">
      <c r="A76" t="s">
        <v>118</v>
      </c>
      <c r="B76" t="s">
        <v>53</v>
      </c>
      <c r="C76" t="s">
        <v>35</v>
      </c>
      <c r="D76" t="s">
        <v>36</v>
      </c>
      <c r="E76">
        <v>267</v>
      </c>
      <c r="F76">
        <v>242</v>
      </c>
      <c r="G76">
        <v>95</v>
      </c>
      <c r="H76">
        <v>185</v>
      </c>
      <c r="I76">
        <v>500</v>
      </c>
      <c r="J76" s="1">
        <v>46072</v>
      </c>
    </row>
    <row r="77" spans="1:10" x14ac:dyDescent="0.3">
      <c r="A77" t="s">
        <v>119</v>
      </c>
      <c r="B77" t="s">
        <v>55</v>
      </c>
      <c r="C77" t="s">
        <v>19</v>
      </c>
      <c r="D77" t="s">
        <v>39</v>
      </c>
      <c r="E77">
        <v>237</v>
      </c>
      <c r="F77">
        <v>107</v>
      </c>
      <c r="G77">
        <v>91</v>
      </c>
      <c r="H77">
        <v>27</v>
      </c>
      <c r="I77">
        <v>1200</v>
      </c>
      <c r="J77" s="1">
        <v>46067</v>
      </c>
    </row>
    <row r="78" spans="1:10" x14ac:dyDescent="0.3">
      <c r="A78" t="s">
        <v>120</v>
      </c>
      <c r="B78" t="s">
        <v>57</v>
      </c>
      <c r="C78" t="s">
        <v>23</v>
      </c>
      <c r="D78" t="s">
        <v>13</v>
      </c>
      <c r="E78">
        <v>109</v>
      </c>
      <c r="F78">
        <v>106</v>
      </c>
      <c r="G78">
        <v>224</v>
      </c>
      <c r="H78">
        <v>78</v>
      </c>
      <c r="I78">
        <v>20</v>
      </c>
      <c r="J78" s="1">
        <v>46082</v>
      </c>
    </row>
    <row r="79" spans="1:10" x14ac:dyDescent="0.3">
      <c r="A79" t="s">
        <v>121</v>
      </c>
      <c r="B79" t="s">
        <v>59</v>
      </c>
      <c r="C79" t="s">
        <v>27</v>
      </c>
      <c r="D79" t="s">
        <v>16</v>
      </c>
      <c r="E79">
        <v>131</v>
      </c>
      <c r="F79">
        <v>251</v>
      </c>
      <c r="G79">
        <v>76</v>
      </c>
      <c r="H79">
        <v>193</v>
      </c>
      <c r="I79">
        <v>350</v>
      </c>
      <c r="J79" s="1">
        <v>46076</v>
      </c>
    </row>
    <row r="80" spans="1:10" x14ac:dyDescent="0.3">
      <c r="A80" t="s">
        <v>122</v>
      </c>
      <c r="B80" t="s">
        <v>61</v>
      </c>
      <c r="C80" t="s">
        <v>31</v>
      </c>
      <c r="D80" t="s">
        <v>20</v>
      </c>
      <c r="E80">
        <v>111</v>
      </c>
      <c r="F80">
        <v>39</v>
      </c>
      <c r="G80">
        <v>68</v>
      </c>
      <c r="H80">
        <v>145</v>
      </c>
      <c r="I80">
        <v>300</v>
      </c>
      <c r="J80" s="1">
        <v>46085</v>
      </c>
    </row>
    <row r="81" spans="1:10" x14ac:dyDescent="0.3">
      <c r="A81" t="s">
        <v>123</v>
      </c>
      <c r="B81" t="s">
        <v>63</v>
      </c>
      <c r="C81" t="s">
        <v>35</v>
      </c>
      <c r="D81" t="s">
        <v>24</v>
      </c>
      <c r="E81">
        <v>208</v>
      </c>
      <c r="F81">
        <v>292</v>
      </c>
      <c r="G81">
        <v>63</v>
      </c>
      <c r="H81">
        <v>43</v>
      </c>
      <c r="I81">
        <v>250</v>
      </c>
      <c r="J81" s="1">
        <v>46069</v>
      </c>
    </row>
    <row r="82" spans="1:10" x14ac:dyDescent="0.3">
      <c r="A82" t="s">
        <v>124</v>
      </c>
      <c r="B82" t="s">
        <v>11</v>
      </c>
      <c r="C82" t="s">
        <v>12</v>
      </c>
      <c r="D82" t="s">
        <v>13</v>
      </c>
      <c r="E82">
        <v>202</v>
      </c>
      <c r="F82">
        <v>25</v>
      </c>
      <c r="G82">
        <v>62</v>
      </c>
      <c r="H82">
        <v>36</v>
      </c>
      <c r="I82">
        <v>800</v>
      </c>
      <c r="J82" s="1">
        <v>46063</v>
      </c>
    </row>
    <row r="83" spans="1:10" x14ac:dyDescent="0.3">
      <c r="A83" t="s">
        <v>125</v>
      </c>
      <c r="B83" t="s">
        <v>15</v>
      </c>
      <c r="C83" t="s">
        <v>12</v>
      </c>
      <c r="D83" t="s">
        <v>16</v>
      </c>
      <c r="E83">
        <v>15</v>
      </c>
      <c r="F83">
        <v>144</v>
      </c>
      <c r="G83">
        <v>104</v>
      </c>
      <c r="H83">
        <v>73</v>
      </c>
      <c r="I83">
        <v>900</v>
      </c>
      <c r="J83" s="1">
        <v>46071</v>
      </c>
    </row>
    <row r="84" spans="1:10" x14ac:dyDescent="0.3">
      <c r="A84" t="s">
        <v>126</v>
      </c>
      <c r="B84" t="s">
        <v>18</v>
      </c>
      <c r="C84" t="s">
        <v>19</v>
      </c>
      <c r="D84" t="s">
        <v>20</v>
      </c>
      <c r="E84">
        <v>44</v>
      </c>
      <c r="F84">
        <v>55</v>
      </c>
      <c r="G84">
        <v>195</v>
      </c>
      <c r="H84">
        <v>27</v>
      </c>
      <c r="I84">
        <v>120</v>
      </c>
      <c r="J84" s="1">
        <v>46082</v>
      </c>
    </row>
    <row r="85" spans="1:10" x14ac:dyDescent="0.3">
      <c r="A85" t="s">
        <v>127</v>
      </c>
      <c r="B85" t="s">
        <v>22</v>
      </c>
      <c r="C85" t="s">
        <v>23</v>
      </c>
      <c r="D85" t="s">
        <v>24</v>
      </c>
      <c r="E85">
        <v>236</v>
      </c>
      <c r="F85">
        <v>13</v>
      </c>
      <c r="G85">
        <v>162</v>
      </c>
      <c r="H85">
        <v>137</v>
      </c>
      <c r="I85">
        <v>250</v>
      </c>
      <c r="J85" s="1">
        <v>46078</v>
      </c>
    </row>
    <row r="86" spans="1:10" x14ac:dyDescent="0.3">
      <c r="A86" t="s">
        <v>128</v>
      </c>
      <c r="B86" t="s">
        <v>26</v>
      </c>
      <c r="C86" t="s">
        <v>27</v>
      </c>
      <c r="D86" t="s">
        <v>28</v>
      </c>
      <c r="E86">
        <v>116</v>
      </c>
      <c r="F86">
        <v>86</v>
      </c>
      <c r="G86">
        <v>135</v>
      </c>
      <c r="H86">
        <v>214</v>
      </c>
      <c r="I86">
        <v>300</v>
      </c>
      <c r="J86" s="1">
        <v>46068</v>
      </c>
    </row>
    <row r="87" spans="1:10" x14ac:dyDescent="0.3">
      <c r="A87" t="s">
        <v>129</v>
      </c>
      <c r="B87" t="s">
        <v>30</v>
      </c>
      <c r="C87" t="s">
        <v>31</v>
      </c>
      <c r="D87" t="s">
        <v>32</v>
      </c>
      <c r="E87">
        <v>237</v>
      </c>
      <c r="F87">
        <v>101</v>
      </c>
      <c r="G87">
        <v>224</v>
      </c>
      <c r="H87">
        <v>132</v>
      </c>
      <c r="I87">
        <v>50</v>
      </c>
      <c r="J87" s="1">
        <v>46086</v>
      </c>
    </row>
    <row r="88" spans="1:10" x14ac:dyDescent="0.3">
      <c r="A88" t="s">
        <v>130</v>
      </c>
      <c r="B88" t="s">
        <v>34</v>
      </c>
      <c r="C88" t="s">
        <v>35</v>
      </c>
      <c r="D88" t="s">
        <v>36</v>
      </c>
      <c r="E88">
        <v>269</v>
      </c>
      <c r="F88">
        <v>199</v>
      </c>
      <c r="G88">
        <v>149</v>
      </c>
      <c r="H88">
        <v>25</v>
      </c>
      <c r="I88">
        <v>150</v>
      </c>
      <c r="J88" s="1">
        <v>46073</v>
      </c>
    </row>
    <row r="89" spans="1:10" x14ac:dyDescent="0.3">
      <c r="A89" t="s">
        <v>131</v>
      </c>
      <c r="B89" t="s">
        <v>38</v>
      </c>
      <c r="C89" t="s">
        <v>19</v>
      </c>
      <c r="D89" t="s">
        <v>39</v>
      </c>
      <c r="E89">
        <v>20</v>
      </c>
      <c r="F89">
        <v>96</v>
      </c>
      <c r="G89">
        <v>108</v>
      </c>
      <c r="H89">
        <v>30</v>
      </c>
      <c r="I89">
        <v>200</v>
      </c>
      <c r="J89" s="1">
        <v>46083</v>
      </c>
    </row>
    <row r="90" spans="1:10" x14ac:dyDescent="0.3">
      <c r="A90" t="s">
        <v>132</v>
      </c>
      <c r="B90" t="s">
        <v>41</v>
      </c>
      <c r="C90" t="s">
        <v>23</v>
      </c>
      <c r="D90" t="s">
        <v>13</v>
      </c>
      <c r="E90">
        <v>154</v>
      </c>
      <c r="F90">
        <v>55</v>
      </c>
      <c r="G90">
        <v>65</v>
      </c>
      <c r="H90">
        <v>275</v>
      </c>
      <c r="I90">
        <v>180</v>
      </c>
      <c r="J90" s="1">
        <v>46075</v>
      </c>
    </row>
    <row r="91" spans="1:10" x14ac:dyDescent="0.3">
      <c r="A91" t="s">
        <v>133</v>
      </c>
      <c r="B91" t="s">
        <v>43</v>
      </c>
      <c r="C91" t="s">
        <v>27</v>
      </c>
      <c r="D91" t="s">
        <v>28</v>
      </c>
      <c r="E91">
        <v>138</v>
      </c>
      <c r="F91">
        <v>143</v>
      </c>
      <c r="G91">
        <v>87</v>
      </c>
      <c r="H91">
        <v>129</v>
      </c>
      <c r="I91">
        <v>220</v>
      </c>
      <c r="J91" s="1">
        <v>46081</v>
      </c>
    </row>
    <row r="92" spans="1:10" x14ac:dyDescent="0.3">
      <c r="A92" t="s">
        <v>134</v>
      </c>
      <c r="B92" t="s">
        <v>45</v>
      </c>
      <c r="C92" t="s">
        <v>12</v>
      </c>
      <c r="D92" t="s">
        <v>32</v>
      </c>
      <c r="E92">
        <v>196</v>
      </c>
      <c r="F92">
        <v>240</v>
      </c>
      <c r="G92">
        <v>137</v>
      </c>
      <c r="H92">
        <v>143</v>
      </c>
      <c r="I92">
        <v>1500</v>
      </c>
      <c r="J92" s="1">
        <v>46065</v>
      </c>
    </row>
    <row r="93" spans="1:10" x14ac:dyDescent="0.3">
      <c r="A93" t="s">
        <v>135</v>
      </c>
      <c r="B93" t="s">
        <v>47</v>
      </c>
      <c r="C93" t="s">
        <v>23</v>
      </c>
      <c r="D93" t="s">
        <v>24</v>
      </c>
      <c r="E93">
        <v>162</v>
      </c>
      <c r="F93">
        <v>167</v>
      </c>
      <c r="G93">
        <v>81</v>
      </c>
      <c r="H93">
        <v>230</v>
      </c>
      <c r="I93">
        <v>30</v>
      </c>
      <c r="J93" s="1">
        <v>46084</v>
      </c>
    </row>
    <row r="94" spans="1:10" x14ac:dyDescent="0.3">
      <c r="A94" t="s">
        <v>136</v>
      </c>
      <c r="B94" t="s">
        <v>49</v>
      </c>
      <c r="C94" t="s">
        <v>27</v>
      </c>
      <c r="D94" t="s">
        <v>28</v>
      </c>
      <c r="E94">
        <v>298</v>
      </c>
      <c r="F94">
        <v>125</v>
      </c>
      <c r="G94">
        <v>233</v>
      </c>
      <c r="H94">
        <v>18</v>
      </c>
      <c r="I94">
        <v>90</v>
      </c>
      <c r="J94" s="1">
        <v>46070</v>
      </c>
    </row>
    <row r="95" spans="1:10" x14ac:dyDescent="0.3">
      <c r="A95" t="s">
        <v>137</v>
      </c>
      <c r="B95" t="s">
        <v>51</v>
      </c>
      <c r="C95" t="s">
        <v>31</v>
      </c>
      <c r="D95" t="s">
        <v>32</v>
      </c>
      <c r="E95">
        <v>289</v>
      </c>
      <c r="F95">
        <v>85</v>
      </c>
      <c r="G95">
        <v>148</v>
      </c>
      <c r="H95">
        <v>189</v>
      </c>
      <c r="I95">
        <v>40</v>
      </c>
      <c r="J95" s="1">
        <v>46087</v>
      </c>
    </row>
    <row r="96" spans="1:10" x14ac:dyDescent="0.3">
      <c r="A96" t="s">
        <v>138</v>
      </c>
      <c r="B96" t="s">
        <v>53</v>
      </c>
      <c r="C96" t="s">
        <v>35</v>
      </c>
      <c r="D96" t="s">
        <v>28</v>
      </c>
      <c r="E96">
        <v>69</v>
      </c>
      <c r="F96">
        <v>228</v>
      </c>
      <c r="G96">
        <v>46</v>
      </c>
      <c r="H96">
        <v>235</v>
      </c>
      <c r="I96">
        <v>500</v>
      </c>
      <c r="J96" s="1">
        <v>46072</v>
      </c>
    </row>
    <row r="97" spans="1:10" x14ac:dyDescent="0.3">
      <c r="A97" t="s">
        <v>139</v>
      </c>
      <c r="B97" t="s">
        <v>55</v>
      </c>
      <c r="C97" t="s">
        <v>19</v>
      </c>
      <c r="D97" t="s">
        <v>39</v>
      </c>
      <c r="E97">
        <v>112</v>
      </c>
      <c r="F97">
        <v>152</v>
      </c>
      <c r="G97">
        <v>81</v>
      </c>
      <c r="H97">
        <v>109</v>
      </c>
      <c r="I97">
        <v>1200</v>
      </c>
      <c r="J97" s="1">
        <v>46067</v>
      </c>
    </row>
    <row r="98" spans="1:10" x14ac:dyDescent="0.3">
      <c r="A98" t="s">
        <v>140</v>
      </c>
      <c r="B98" t="s">
        <v>57</v>
      </c>
      <c r="C98" t="s">
        <v>23</v>
      </c>
      <c r="D98" t="s">
        <v>16</v>
      </c>
      <c r="E98">
        <v>142</v>
      </c>
      <c r="F98">
        <v>252</v>
      </c>
      <c r="G98">
        <v>196</v>
      </c>
      <c r="H98">
        <v>289</v>
      </c>
      <c r="I98">
        <v>20</v>
      </c>
      <c r="J98" s="1">
        <v>46082</v>
      </c>
    </row>
    <row r="99" spans="1:10" x14ac:dyDescent="0.3">
      <c r="A99" t="s">
        <v>141</v>
      </c>
      <c r="B99" t="s">
        <v>59</v>
      </c>
      <c r="C99" t="s">
        <v>27</v>
      </c>
      <c r="D99" t="s">
        <v>16</v>
      </c>
      <c r="E99">
        <v>259</v>
      </c>
      <c r="F99">
        <v>261</v>
      </c>
      <c r="G99">
        <v>29</v>
      </c>
      <c r="H99">
        <v>219</v>
      </c>
      <c r="I99">
        <v>350</v>
      </c>
      <c r="J99" s="1">
        <v>46076</v>
      </c>
    </row>
    <row r="100" spans="1:10" x14ac:dyDescent="0.3">
      <c r="A100" t="s">
        <v>142</v>
      </c>
      <c r="B100" t="s">
        <v>61</v>
      </c>
      <c r="C100" t="s">
        <v>31</v>
      </c>
      <c r="D100" t="s">
        <v>36</v>
      </c>
      <c r="E100">
        <v>77</v>
      </c>
      <c r="F100">
        <v>68</v>
      </c>
      <c r="G100">
        <v>227</v>
      </c>
      <c r="H100">
        <v>254</v>
      </c>
      <c r="I100">
        <v>300</v>
      </c>
      <c r="J100" s="1">
        <v>46085</v>
      </c>
    </row>
    <row r="101" spans="1:10" x14ac:dyDescent="0.3">
      <c r="A101" t="s">
        <v>143</v>
      </c>
      <c r="B101" t="s">
        <v>63</v>
      </c>
      <c r="C101" t="s">
        <v>35</v>
      </c>
      <c r="D101" t="s">
        <v>39</v>
      </c>
      <c r="E101">
        <v>45</v>
      </c>
      <c r="F101">
        <v>256</v>
      </c>
      <c r="G101">
        <v>200</v>
      </c>
      <c r="H101">
        <v>11</v>
      </c>
      <c r="I101">
        <v>250</v>
      </c>
      <c r="J101" s="1">
        <v>46069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55D5-B725-4683-A758-8E758FE217E9}">
  <dimension ref="A1:R101"/>
  <sheetViews>
    <sheetView zoomScale="94" workbookViewId="0">
      <selection activeCell="F13" sqref="F13"/>
    </sheetView>
  </sheetViews>
  <sheetFormatPr defaultRowHeight="14.4" x14ac:dyDescent="0.3"/>
  <cols>
    <col min="1" max="1" width="12.33203125" bestFit="1" customWidth="1"/>
    <col min="2" max="2" width="16" bestFit="1" customWidth="1"/>
    <col min="3" max="3" width="14.5546875" bestFit="1" customWidth="1"/>
    <col min="4" max="4" width="15.5546875" bestFit="1" customWidth="1"/>
    <col min="5" max="5" width="15" bestFit="1" customWidth="1"/>
    <col min="6" max="6" width="14.88671875" bestFit="1" customWidth="1"/>
    <col min="7" max="7" width="16.5546875" bestFit="1" customWidth="1"/>
    <col min="8" max="8" width="17" bestFit="1" customWidth="1"/>
    <col min="9" max="9" width="11.21875" bestFit="1" customWidth="1"/>
    <col min="10" max="10" width="18.88671875" bestFit="1" customWidth="1"/>
  </cols>
  <sheetData>
    <row r="1" spans="1:18" x14ac:dyDescent="0.3">
      <c r="A1" t="s">
        <v>0</v>
      </c>
      <c r="B1" t="s">
        <v>1</v>
      </c>
      <c r="C1" t="s">
        <v>2</v>
      </c>
      <c r="D1" t="s">
        <v>3</v>
      </c>
      <c r="E1" s="3" t="s">
        <v>4</v>
      </c>
      <c r="F1" s="3" t="s">
        <v>5</v>
      </c>
      <c r="G1" s="3" t="s">
        <v>6</v>
      </c>
      <c r="H1" s="3" t="s">
        <v>7</v>
      </c>
      <c r="I1" s="2" t="s">
        <v>8</v>
      </c>
      <c r="J1" t="s">
        <v>9</v>
      </c>
      <c r="K1" t="s">
        <v>144</v>
      </c>
      <c r="L1" t="s">
        <v>145</v>
      </c>
      <c r="M1" t="s">
        <v>146</v>
      </c>
      <c r="N1" t="s">
        <v>147</v>
      </c>
      <c r="O1" t="s">
        <v>148</v>
      </c>
      <c r="P1" t="s">
        <v>149</v>
      </c>
      <c r="Q1" t="s">
        <v>150</v>
      </c>
      <c r="R1" t="s">
        <v>151</v>
      </c>
    </row>
    <row r="2" spans="1:18" x14ac:dyDescent="0.3">
      <c r="A2" t="s">
        <v>10</v>
      </c>
      <c r="B2" t="s">
        <v>11</v>
      </c>
      <c r="C2" t="s">
        <v>12</v>
      </c>
      <c r="D2" t="s">
        <v>13</v>
      </c>
      <c r="E2">
        <v>120</v>
      </c>
      <c r="F2">
        <v>50</v>
      </c>
      <c r="G2">
        <v>8</v>
      </c>
      <c r="H2">
        <v>7</v>
      </c>
      <c r="I2">
        <v>800</v>
      </c>
      <c r="J2" s="1">
        <v>46063</v>
      </c>
      <c r="K2">
        <f t="shared" ref="K2:K33" si="0">IFERROR(E2/G2,0)</f>
        <v>15</v>
      </c>
      <c r="L2" t="str">
        <f>IF(E2&lt;=F2,"Yes","No")</f>
        <v>No</v>
      </c>
      <c r="M2" t="str">
        <f t="shared" ref="M2:M33" si="1">IF(E2&lt;=F2,"Critical",IF(K2&lt;=(H2+3),"Low","Safe"))</f>
        <v>Safe</v>
      </c>
      <c r="N2">
        <f t="shared" ref="N2:N65" si="2">E2*I2</f>
        <v>96000</v>
      </c>
      <c r="O2">
        <f t="shared" ref="O2:O33" si="3">MAX((G2*(H2+7))-E2,0)</f>
        <v>0</v>
      </c>
      <c r="P2" t="str">
        <f t="shared" ref="P2:P33" si="4">IF(K2&lt;H2,"High",IF(K2&lt;=(H2+3),"Medium","Low"))</f>
        <v>Low</v>
      </c>
      <c r="Q2">
        <f t="shared" ref="Q2:Q33" si="5">IF(OR(M2="Critical",M2="Low"),N2,0)</f>
        <v>0</v>
      </c>
      <c r="R2" t="str">
        <f t="shared" ref="R2:R33" si="6">IF(K2&gt;45,"Yes","No")</f>
        <v>No</v>
      </c>
    </row>
    <row r="3" spans="1:18" x14ac:dyDescent="0.3">
      <c r="A3" t="s">
        <v>14</v>
      </c>
      <c r="B3" t="s">
        <v>15</v>
      </c>
      <c r="C3" t="s">
        <v>12</v>
      </c>
      <c r="D3" t="s">
        <v>16</v>
      </c>
      <c r="E3">
        <v>60</v>
      </c>
      <c r="F3">
        <v>40</v>
      </c>
      <c r="G3">
        <v>6</v>
      </c>
      <c r="H3">
        <v>5</v>
      </c>
      <c r="I3">
        <v>900</v>
      </c>
      <c r="J3" s="1">
        <v>46071</v>
      </c>
      <c r="K3">
        <f t="shared" si="0"/>
        <v>10</v>
      </c>
      <c r="L3" t="str">
        <f t="shared" ref="L3:L66" si="7">IF(E3&lt;=F3,"Yes","No")</f>
        <v>No</v>
      </c>
      <c r="M3" t="str">
        <f t="shared" si="1"/>
        <v>Safe</v>
      </c>
      <c r="N3">
        <f t="shared" si="2"/>
        <v>54000</v>
      </c>
      <c r="O3">
        <f t="shared" si="3"/>
        <v>12</v>
      </c>
      <c r="P3" t="str">
        <f t="shared" si="4"/>
        <v>Low</v>
      </c>
      <c r="Q3">
        <f t="shared" si="5"/>
        <v>0</v>
      </c>
      <c r="R3" t="str">
        <f t="shared" si="6"/>
        <v>No</v>
      </c>
    </row>
    <row r="4" spans="1:18" x14ac:dyDescent="0.3">
      <c r="A4" t="s">
        <v>17</v>
      </c>
      <c r="B4" t="s">
        <v>18</v>
      </c>
      <c r="C4" t="s">
        <v>19</v>
      </c>
      <c r="D4" t="s">
        <v>28</v>
      </c>
      <c r="E4">
        <v>200</v>
      </c>
      <c r="F4">
        <v>80</v>
      </c>
      <c r="G4">
        <v>15</v>
      </c>
      <c r="H4">
        <v>4</v>
      </c>
      <c r="I4">
        <v>120</v>
      </c>
      <c r="J4" s="1">
        <v>46082</v>
      </c>
      <c r="K4">
        <f t="shared" si="0"/>
        <v>13.333333333333334</v>
      </c>
      <c r="L4" t="str">
        <f t="shared" si="7"/>
        <v>No</v>
      </c>
      <c r="M4" t="str">
        <f t="shared" si="1"/>
        <v>Safe</v>
      </c>
      <c r="N4">
        <f t="shared" si="2"/>
        <v>24000</v>
      </c>
      <c r="O4">
        <f t="shared" si="3"/>
        <v>0</v>
      </c>
      <c r="P4" t="str">
        <f t="shared" si="4"/>
        <v>Low</v>
      </c>
      <c r="Q4">
        <f t="shared" si="5"/>
        <v>0</v>
      </c>
      <c r="R4" t="str">
        <f t="shared" si="6"/>
        <v>No</v>
      </c>
    </row>
    <row r="5" spans="1:18" x14ac:dyDescent="0.3">
      <c r="A5" t="s">
        <v>21</v>
      </c>
      <c r="B5" t="s">
        <v>22</v>
      </c>
      <c r="C5" t="s">
        <v>23</v>
      </c>
      <c r="D5" t="s">
        <v>24</v>
      </c>
      <c r="E5">
        <v>40</v>
      </c>
      <c r="F5">
        <v>60</v>
      </c>
      <c r="G5">
        <v>10</v>
      </c>
      <c r="H5">
        <v>6</v>
      </c>
      <c r="I5">
        <v>250</v>
      </c>
      <c r="J5" s="1">
        <v>46078</v>
      </c>
      <c r="K5">
        <f t="shared" si="0"/>
        <v>4</v>
      </c>
      <c r="L5" t="str">
        <f t="shared" si="7"/>
        <v>Yes</v>
      </c>
      <c r="M5" t="str">
        <f t="shared" si="1"/>
        <v>Critical</v>
      </c>
      <c r="N5">
        <f t="shared" si="2"/>
        <v>10000</v>
      </c>
      <c r="O5">
        <f t="shared" si="3"/>
        <v>90</v>
      </c>
      <c r="P5" t="str">
        <f t="shared" si="4"/>
        <v>High</v>
      </c>
      <c r="Q5">
        <f t="shared" si="5"/>
        <v>10000</v>
      </c>
      <c r="R5" t="str">
        <f t="shared" si="6"/>
        <v>No</v>
      </c>
    </row>
    <row r="6" spans="1:18" x14ac:dyDescent="0.3">
      <c r="A6" t="s">
        <v>25</v>
      </c>
      <c r="B6" t="s">
        <v>26</v>
      </c>
      <c r="C6" t="s">
        <v>27</v>
      </c>
      <c r="D6" t="s">
        <v>28</v>
      </c>
      <c r="E6">
        <v>90</v>
      </c>
      <c r="F6">
        <v>50</v>
      </c>
      <c r="G6">
        <v>12</v>
      </c>
      <c r="H6">
        <v>8</v>
      </c>
      <c r="I6">
        <v>300</v>
      </c>
      <c r="J6" s="1">
        <v>46068</v>
      </c>
      <c r="K6">
        <f t="shared" si="0"/>
        <v>7.5</v>
      </c>
      <c r="L6" t="str">
        <f t="shared" si="7"/>
        <v>No</v>
      </c>
      <c r="M6" t="str">
        <f t="shared" si="1"/>
        <v>Low</v>
      </c>
      <c r="N6">
        <f t="shared" si="2"/>
        <v>27000</v>
      </c>
      <c r="O6">
        <f t="shared" si="3"/>
        <v>90</v>
      </c>
      <c r="P6" t="str">
        <f t="shared" si="4"/>
        <v>High</v>
      </c>
      <c r="Q6">
        <f t="shared" si="5"/>
        <v>27000</v>
      </c>
      <c r="R6" t="str">
        <f t="shared" si="6"/>
        <v>No</v>
      </c>
    </row>
    <row r="7" spans="1:18" x14ac:dyDescent="0.3">
      <c r="A7" t="s">
        <v>29</v>
      </c>
      <c r="B7" t="s">
        <v>30</v>
      </c>
      <c r="C7" t="s">
        <v>31</v>
      </c>
      <c r="D7" t="s">
        <v>32</v>
      </c>
      <c r="E7">
        <v>300</v>
      </c>
      <c r="F7">
        <v>100</v>
      </c>
      <c r="G7">
        <v>20</v>
      </c>
      <c r="H7">
        <v>3</v>
      </c>
      <c r="I7">
        <v>50</v>
      </c>
      <c r="J7" s="1">
        <v>46086</v>
      </c>
      <c r="K7">
        <f t="shared" si="0"/>
        <v>15</v>
      </c>
      <c r="L7" t="str">
        <f t="shared" si="7"/>
        <v>No</v>
      </c>
      <c r="M7" t="str">
        <f t="shared" si="1"/>
        <v>Safe</v>
      </c>
      <c r="N7">
        <f t="shared" si="2"/>
        <v>15000</v>
      </c>
      <c r="O7">
        <f t="shared" si="3"/>
        <v>0</v>
      </c>
      <c r="P7" t="str">
        <f t="shared" si="4"/>
        <v>Low</v>
      </c>
      <c r="Q7">
        <f t="shared" si="5"/>
        <v>0</v>
      </c>
      <c r="R7" t="str">
        <f t="shared" si="6"/>
        <v>No</v>
      </c>
    </row>
    <row r="8" spans="1:18" x14ac:dyDescent="0.3">
      <c r="A8" t="s">
        <v>33</v>
      </c>
      <c r="B8" t="s">
        <v>34</v>
      </c>
      <c r="C8" t="s">
        <v>35</v>
      </c>
      <c r="D8" t="s">
        <v>36</v>
      </c>
      <c r="E8">
        <v>35</v>
      </c>
      <c r="F8">
        <v>50</v>
      </c>
      <c r="G8">
        <v>9</v>
      </c>
      <c r="H8">
        <v>10</v>
      </c>
      <c r="I8">
        <v>150</v>
      </c>
      <c r="J8" s="1">
        <v>46073</v>
      </c>
      <c r="K8">
        <f t="shared" si="0"/>
        <v>3.8888888888888888</v>
      </c>
      <c r="L8" t="str">
        <f t="shared" si="7"/>
        <v>Yes</v>
      </c>
      <c r="M8" t="str">
        <f t="shared" si="1"/>
        <v>Critical</v>
      </c>
      <c r="N8">
        <f t="shared" si="2"/>
        <v>5250</v>
      </c>
      <c r="O8">
        <f t="shared" si="3"/>
        <v>118</v>
      </c>
      <c r="P8" t="str">
        <f t="shared" si="4"/>
        <v>High</v>
      </c>
      <c r="Q8">
        <f t="shared" si="5"/>
        <v>5250</v>
      </c>
      <c r="R8" t="str">
        <f t="shared" si="6"/>
        <v>No</v>
      </c>
    </row>
    <row r="9" spans="1:18" x14ac:dyDescent="0.3">
      <c r="A9" t="s">
        <v>37</v>
      </c>
      <c r="B9" t="s">
        <v>38</v>
      </c>
      <c r="C9" t="s">
        <v>19</v>
      </c>
      <c r="D9" t="s">
        <v>39</v>
      </c>
      <c r="E9">
        <v>180</v>
      </c>
      <c r="F9">
        <v>70</v>
      </c>
      <c r="G9">
        <v>11</v>
      </c>
      <c r="H9">
        <v>6</v>
      </c>
      <c r="I9">
        <v>200</v>
      </c>
      <c r="J9" s="1">
        <v>46083</v>
      </c>
      <c r="K9">
        <f t="shared" si="0"/>
        <v>16.363636363636363</v>
      </c>
      <c r="L9" t="str">
        <f t="shared" si="7"/>
        <v>No</v>
      </c>
      <c r="M9" t="str">
        <f t="shared" si="1"/>
        <v>Safe</v>
      </c>
      <c r="N9">
        <f t="shared" si="2"/>
        <v>36000</v>
      </c>
      <c r="O9">
        <f t="shared" si="3"/>
        <v>0</v>
      </c>
      <c r="P9" t="str">
        <f t="shared" si="4"/>
        <v>Low</v>
      </c>
      <c r="Q9">
        <f t="shared" si="5"/>
        <v>0</v>
      </c>
      <c r="R9" t="str">
        <f t="shared" si="6"/>
        <v>No</v>
      </c>
    </row>
    <row r="10" spans="1:18" x14ac:dyDescent="0.3">
      <c r="A10" t="s">
        <v>40</v>
      </c>
      <c r="B10" t="s">
        <v>41</v>
      </c>
      <c r="C10" t="s">
        <v>23</v>
      </c>
      <c r="D10" t="s">
        <v>28</v>
      </c>
      <c r="E10">
        <v>75</v>
      </c>
      <c r="F10">
        <v>60</v>
      </c>
      <c r="G10">
        <v>14</v>
      </c>
      <c r="H10">
        <v>7</v>
      </c>
      <c r="I10">
        <v>180</v>
      </c>
      <c r="J10" s="1">
        <v>46075</v>
      </c>
      <c r="K10">
        <f t="shared" si="0"/>
        <v>5.3571428571428568</v>
      </c>
      <c r="L10" t="str">
        <f t="shared" si="7"/>
        <v>No</v>
      </c>
      <c r="M10" t="str">
        <f t="shared" si="1"/>
        <v>Low</v>
      </c>
      <c r="N10">
        <f t="shared" si="2"/>
        <v>13500</v>
      </c>
      <c r="O10">
        <f t="shared" si="3"/>
        <v>121</v>
      </c>
      <c r="P10" t="str">
        <f t="shared" si="4"/>
        <v>High</v>
      </c>
      <c r="Q10">
        <f t="shared" si="5"/>
        <v>13500</v>
      </c>
      <c r="R10" t="str">
        <f t="shared" si="6"/>
        <v>No</v>
      </c>
    </row>
    <row r="11" spans="1:18" x14ac:dyDescent="0.3">
      <c r="A11" t="s">
        <v>42</v>
      </c>
      <c r="B11" t="s">
        <v>43</v>
      </c>
      <c r="C11" t="s">
        <v>27</v>
      </c>
      <c r="D11" t="s">
        <v>16</v>
      </c>
      <c r="E11">
        <v>55</v>
      </c>
      <c r="F11">
        <v>40</v>
      </c>
      <c r="G11">
        <v>7</v>
      </c>
      <c r="H11">
        <v>5</v>
      </c>
      <c r="I11">
        <v>220</v>
      </c>
      <c r="J11" s="1">
        <v>46081</v>
      </c>
      <c r="K11">
        <f t="shared" si="0"/>
        <v>7.8571428571428568</v>
      </c>
      <c r="L11" t="str">
        <f t="shared" si="7"/>
        <v>No</v>
      </c>
      <c r="M11" t="str">
        <f t="shared" si="1"/>
        <v>Low</v>
      </c>
      <c r="N11">
        <f t="shared" si="2"/>
        <v>12100</v>
      </c>
      <c r="O11">
        <f t="shared" si="3"/>
        <v>29</v>
      </c>
      <c r="P11" t="str">
        <f t="shared" si="4"/>
        <v>Medium</v>
      </c>
      <c r="Q11">
        <f t="shared" si="5"/>
        <v>12100</v>
      </c>
      <c r="R11" t="str">
        <f t="shared" si="6"/>
        <v>No</v>
      </c>
    </row>
    <row r="12" spans="1:18" x14ac:dyDescent="0.3">
      <c r="A12" t="s">
        <v>44</v>
      </c>
      <c r="B12" t="s">
        <v>45</v>
      </c>
      <c r="C12" t="s">
        <v>12</v>
      </c>
      <c r="D12" t="s">
        <v>20</v>
      </c>
      <c r="E12">
        <v>45</v>
      </c>
      <c r="F12">
        <v>50</v>
      </c>
      <c r="G12">
        <v>5</v>
      </c>
      <c r="H12">
        <v>9</v>
      </c>
      <c r="I12">
        <v>1500</v>
      </c>
      <c r="J12" s="1">
        <v>46065</v>
      </c>
      <c r="K12">
        <f t="shared" si="0"/>
        <v>9</v>
      </c>
      <c r="L12" t="str">
        <f t="shared" si="7"/>
        <v>Yes</v>
      </c>
      <c r="M12" t="str">
        <f t="shared" si="1"/>
        <v>Critical</v>
      </c>
      <c r="N12">
        <f t="shared" si="2"/>
        <v>67500</v>
      </c>
      <c r="O12">
        <f t="shared" si="3"/>
        <v>35</v>
      </c>
      <c r="P12" t="str">
        <f t="shared" si="4"/>
        <v>Medium</v>
      </c>
      <c r="Q12">
        <f t="shared" si="5"/>
        <v>67500</v>
      </c>
      <c r="R12" t="str">
        <f t="shared" si="6"/>
        <v>No</v>
      </c>
    </row>
    <row r="13" spans="1:18" x14ac:dyDescent="0.3">
      <c r="A13" t="s">
        <v>46</v>
      </c>
      <c r="B13" t="s">
        <v>47</v>
      </c>
      <c r="C13" t="s">
        <v>23</v>
      </c>
      <c r="D13" t="s">
        <v>36</v>
      </c>
      <c r="E13">
        <v>220</v>
      </c>
      <c r="F13">
        <v>100</v>
      </c>
      <c r="G13">
        <v>25</v>
      </c>
      <c r="H13">
        <v>4</v>
      </c>
      <c r="I13">
        <v>30</v>
      </c>
      <c r="J13" s="1">
        <v>46084</v>
      </c>
      <c r="K13">
        <f t="shared" si="0"/>
        <v>8.8000000000000007</v>
      </c>
      <c r="L13" t="str">
        <f t="shared" si="7"/>
        <v>No</v>
      </c>
      <c r="M13" t="str">
        <f t="shared" si="1"/>
        <v>Safe</v>
      </c>
      <c r="N13">
        <f t="shared" si="2"/>
        <v>6600</v>
      </c>
      <c r="O13">
        <f t="shared" si="3"/>
        <v>55</v>
      </c>
      <c r="P13" t="str">
        <f t="shared" si="4"/>
        <v>Low</v>
      </c>
      <c r="Q13">
        <f t="shared" si="5"/>
        <v>0</v>
      </c>
      <c r="R13" t="str">
        <f t="shared" si="6"/>
        <v>No</v>
      </c>
    </row>
    <row r="14" spans="1:18" x14ac:dyDescent="0.3">
      <c r="A14" t="s">
        <v>48</v>
      </c>
      <c r="B14" t="s">
        <v>49</v>
      </c>
      <c r="C14" t="s">
        <v>27</v>
      </c>
      <c r="D14" t="s">
        <v>39</v>
      </c>
      <c r="E14">
        <v>130</v>
      </c>
      <c r="F14">
        <v>60</v>
      </c>
      <c r="G14">
        <v>18</v>
      </c>
      <c r="H14">
        <v>6</v>
      </c>
      <c r="I14">
        <v>90</v>
      </c>
      <c r="J14" s="1">
        <v>46070</v>
      </c>
      <c r="K14">
        <f t="shared" si="0"/>
        <v>7.2222222222222223</v>
      </c>
      <c r="L14" t="str">
        <f t="shared" si="7"/>
        <v>No</v>
      </c>
      <c r="M14" t="str">
        <f t="shared" si="1"/>
        <v>Low</v>
      </c>
      <c r="N14">
        <f t="shared" si="2"/>
        <v>11700</v>
      </c>
      <c r="O14">
        <f t="shared" si="3"/>
        <v>104</v>
      </c>
      <c r="P14" t="str">
        <f t="shared" si="4"/>
        <v>Medium</v>
      </c>
      <c r="Q14">
        <f t="shared" si="5"/>
        <v>11700</v>
      </c>
      <c r="R14" t="str">
        <f t="shared" si="6"/>
        <v>No</v>
      </c>
    </row>
    <row r="15" spans="1:18" x14ac:dyDescent="0.3">
      <c r="A15" t="s">
        <v>50</v>
      </c>
      <c r="B15" t="s">
        <v>51</v>
      </c>
      <c r="C15" t="s">
        <v>31</v>
      </c>
      <c r="D15" t="s">
        <v>32</v>
      </c>
      <c r="E15">
        <v>250</v>
      </c>
      <c r="F15">
        <v>120</v>
      </c>
      <c r="G15">
        <v>16</v>
      </c>
      <c r="H15">
        <v>3</v>
      </c>
      <c r="I15">
        <v>40</v>
      </c>
      <c r="J15" s="1">
        <v>46087</v>
      </c>
      <c r="K15">
        <f t="shared" si="0"/>
        <v>15.625</v>
      </c>
      <c r="L15" t="str">
        <f t="shared" si="7"/>
        <v>No</v>
      </c>
      <c r="M15" t="str">
        <f t="shared" si="1"/>
        <v>Safe</v>
      </c>
      <c r="N15">
        <f t="shared" si="2"/>
        <v>10000</v>
      </c>
      <c r="O15">
        <f t="shared" si="3"/>
        <v>0</v>
      </c>
      <c r="P15" t="str">
        <f t="shared" si="4"/>
        <v>Low</v>
      </c>
      <c r="Q15">
        <f t="shared" si="5"/>
        <v>0</v>
      </c>
      <c r="R15" t="str">
        <f t="shared" si="6"/>
        <v>No</v>
      </c>
    </row>
    <row r="16" spans="1:18" x14ac:dyDescent="0.3">
      <c r="A16" t="s">
        <v>52</v>
      </c>
      <c r="B16" t="s">
        <v>53</v>
      </c>
      <c r="C16" t="s">
        <v>35</v>
      </c>
      <c r="D16" t="s">
        <v>36</v>
      </c>
      <c r="E16">
        <v>20</v>
      </c>
      <c r="F16">
        <v>40</v>
      </c>
      <c r="G16">
        <v>4</v>
      </c>
      <c r="H16">
        <v>12</v>
      </c>
      <c r="I16">
        <v>500</v>
      </c>
      <c r="J16" s="1">
        <v>46072</v>
      </c>
      <c r="K16">
        <f t="shared" si="0"/>
        <v>5</v>
      </c>
      <c r="L16" t="str">
        <f t="shared" si="7"/>
        <v>Yes</v>
      </c>
      <c r="M16" t="str">
        <f t="shared" si="1"/>
        <v>Critical</v>
      </c>
      <c r="N16">
        <f t="shared" si="2"/>
        <v>10000</v>
      </c>
      <c r="O16">
        <f t="shared" si="3"/>
        <v>56</v>
      </c>
      <c r="P16" t="str">
        <f t="shared" si="4"/>
        <v>High</v>
      </c>
      <c r="Q16">
        <f t="shared" si="5"/>
        <v>10000</v>
      </c>
      <c r="R16" t="str">
        <f t="shared" si="6"/>
        <v>No</v>
      </c>
    </row>
    <row r="17" spans="1:18" x14ac:dyDescent="0.3">
      <c r="A17" t="s">
        <v>54</v>
      </c>
      <c r="B17" t="s">
        <v>55</v>
      </c>
      <c r="C17" t="s">
        <v>19</v>
      </c>
      <c r="D17" t="s">
        <v>39</v>
      </c>
      <c r="E17">
        <v>30</v>
      </c>
      <c r="F17">
        <v>50</v>
      </c>
      <c r="G17">
        <v>3</v>
      </c>
      <c r="H17">
        <v>10</v>
      </c>
      <c r="I17">
        <v>1200</v>
      </c>
      <c r="J17" s="1">
        <v>46067</v>
      </c>
      <c r="K17">
        <f t="shared" si="0"/>
        <v>10</v>
      </c>
      <c r="L17" t="str">
        <f t="shared" si="7"/>
        <v>Yes</v>
      </c>
      <c r="M17" t="str">
        <f t="shared" si="1"/>
        <v>Critical</v>
      </c>
      <c r="N17">
        <f t="shared" si="2"/>
        <v>36000</v>
      </c>
      <c r="O17">
        <f t="shared" si="3"/>
        <v>21</v>
      </c>
      <c r="P17" t="str">
        <f t="shared" si="4"/>
        <v>Medium</v>
      </c>
      <c r="Q17">
        <f t="shared" si="5"/>
        <v>36000</v>
      </c>
      <c r="R17" t="str">
        <f t="shared" si="6"/>
        <v>No</v>
      </c>
    </row>
    <row r="18" spans="1:18" x14ac:dyDescent="0.3">
      <c r="A18" t="s">
        <v>56</v>
      </c>
      <c r="B18" t="s">
        <v>57</v>
      </c>
      <c r="C18" t="s">
        <v>23</v>
      </c>
      <c r="D18" t="s">
        <v>13</v>
      </c>
      <c r="E18">
        <v>140</v>
      </c>
      <c r="F18">
        <v>80</v>
      </c>
      <c r="G18">
        <v>22</v>
      </c>
      <c r="H18">
        <v>5</v>
      </c>
      <c r="I18">
        <v>20</v>
      </c>
      <c r="J18" s="1">
        <v>46082</v>
      </c>
      <c r="K18">
        <f t="shared" si="0"/>
        <v>6.3636363636363633</v>
      </c>
      <c r="L18" t="str">
        <f t="shared" si="7"/>
        <v>No</v>
      </c>
      <c r="M18" t="str">
        <f t="shared" si="1"/>
        <v>Low</v>
      </c>
      <c r="N18">
        <f t="shared" si="2"/>
        <v>2800</v>
      </c>
      <c r="O18">
        <f t="shared" si="3"/>
        <v>124</v>
      </c>
      <c r="P18" t="str">
        <f t="shared" si="4"/>
        <v>Medium</v>
      </c>
      <c r="Q18">
        <f t="shared" si="5"/>
        <v>2800</v>
      </c>
      <c r="R18" t="str">
        <f t="shared" si="6"/>
        <v>No</v>
      </c>
    </row>
    <row r="19" spans="1:18" x14ac:dyDescent="0.3">
      <c r="A19" t="s">
        <v>58</v>
      </c>
      <c r="B19" t="s">
        <v>59</v>
      </c>
      <c r="C19" t="s">
        <v>27</v>
      </c>
      <c r="D19" t="s">
        <v>16</v>
      </c>
      <c r="E19">
        <v>85</v>
      </c>
      <c r="F19">
        <v>50</v>
      </c>
      <c r="G19">
        <v>10</v>
      </c>
      <c r="H19">
        <v>7</v>
      </c>
      <c r="I19">
        <v>350</v>
      </c>
      <c r="J19" s="1">
        <v>46076</v>
      </c>
      <c r="K19">
        <f t="shared" si="0"/>
        <v>8.5</v>
      </c>
      <c r="L19" t="str">
        <f t="shared" si="7"/>
        <v>No</v>
      </c>
      <c r="M19" t="str">
        <f t="shared" si="1"/>
        <v>Low</v>
      </c>
      <c r="N19">
        <f t="shared" si="2"/>
        <v>29750</v>
      </c>
      <c r="O19">
        <f t="shared" si="3"/>
        <v>55</v>
      </c>
      <c r="P19" t="str">
        <f t="shared" si="4"/>
        <v>Medium</v>
      </c>
      <c r="Q19">
        <f t="shared" si="5"/>
        <v>29750</v>
      </c>
      <c r="R19" t="str">
        <f t="shared" si="6"/>
        <v>No</v>
      </c>
    </row>
    <row r="20" spans="1:18" x14ac:dyDescent="0.3">
      <c r="A20" t="s">
        <v>60</v>
      </c>
      <c r="B20" t="s">
        <v>61</v>
      </c>
      <c r="C20" t="s">
        <v>31</v>
      </c>
      <c r="D20" t="s">
        <v>32</v>
      </c>
      <c r="E20">
        <v>160</v>
      </c>
      <c r="F20">
        <v>90</v>
      </c>
      <c r="G20">
        <v>19</v>
      </c>
      <c r="H20">
        <v>4</v>
      </c>
      <c r="I20">
        <v>300</v>
      </c>
      <c r="J20" s="1">
        <v>46085</v>
      </c>
      <c r="K20">
        <f t="shared" si="0"/>
        <v>8.4210526315789469</v>
      </c>
      <c r="L20" t="str">
        <f t="shared" si="7"/>
        <v>No</v>
      </c>
      <c r="M20" t="str">
        <f t="shared" si="1"/>
        <v>Safe</v>
      </c>
      <c r="N20">
        <f t="shared" si="2"/>
        <v>48000</v>
      </c>
      <c r="O20">
        <f t="shared" si="3"/>
        <v>49</v>
      </c>
      <c r="P20" t="str">
        <f t="shared" si="4"/>
        <v>Low</v>
      </c>
      <c r="Q20">
        <f t="shared" si="5"/>
        <v>0</v>
      </c>
      <c r="R20" t="str">
        <f t="shared" si="6"/>
        <v>No</v>
      </c>
    </row>
    <row r="21" spans="1:18" x14ac:dyDescent="0.3">
      <c r="A21" t="s">
        <v>62</v>
      </c>
      <c r="B21" t="s">
        <v>63</v>
      </c>
      <c r="C21" t="s">
        <v>35</v>
      </c>
      <c r="D21" t="s">
        <v>24</v>
      </c>
      <c r="E21">
        <v>25</v>
      </c>
      <c r="F21">
        <v>40</v>
      </c>
      <c r="G21">
        <v>5</v>
      </c>
      <c r="H21">
        <v>11</v>
      </c>
      <c r="I21">
        <v>250</v>
      </c>
      <c r="J21" s="1">
        <v>46069</v>
      </c>
      <c r="K21">
        <f t="shared" si="0"/>
        <v>5</v>
      </c>
      <c r="L21" t="str">
        <f t="shared" si="7"/>
        <v>Yes</v>
      </c>
      <c r="M21" t="str">
        <f t="shared" si="1"/>
        <v>Critical</v>
      </c>
      <c r="N21">
        <f t="shared" si="2"/>
        <v>6250</v>
      </c>
      <c r="O21">
        <f t="shared" si="3"/>
        <v>65</v>
      </c>
      <c r="P21" t="str">
        <f t="shared" si="4"/>
        <v>High</v>
      </c>
      <c r="Q21">
        <f t="shared" si="5"/>
        <v>6250</v>
      </c>
      <c r="R21" t="str">
        <f t="shared" si="6"/>
        <v>No</v>
      </c>
    </row>
    <row r="22" spans="1:18" x14ac:dyDescent="0.3">
      <c r="A22" t="s">
        <v>64</v>
      </c>
      <c r="B22" t="s">
        <v>11</v>
      </c>
      <c r="C22" t="s">
        <v>12</v>
      </c>
      <c r="D22" t="s">
        <v>13</v>
      </c>
      <c r="E22">
        <v>253</v>
      </c>
      <c r="F22">
        <v>44</v>
      </c>
      <c r="G22">
        <v>253</v>
      </c>
      <c r="H22">
        <v>104</v>
      </c>
      <c r="I22">
        <v>800</v>
      </c>
      <c r="J22" s="1">
        <v>46063</v>
      </c>
      <c r="K22">
        <f t="shared" si="0"/>
        <v>1</v>
      </c>
      <c r="L22" t="str">
        <f t="shared" si="7"/>
        <v>No</v>
      </c>
      <c r="M22" t="str">
        <f t="shared" si="1"/>
        <v>Low</v>
      </c>
      <c r="N22">
        <f t="shared" si="2"/>
        <v>202400</v>
      </c>
      <c r="O22">
        <f t="shared" si="3"/>
        <v>27830</v>
      </c>
      <c r="P22" t="str">
        <f t="shared" si="4"/>
        <v>High</v>
      </c>
      <c r="Q22">
        <f t="shared" si="5"/>
        <v>202400</v>
      </c>
      <c r="R22" t="str">
        <f t="shared" si="6"/>
        <v>No</v>
      </c>
    </row>
    <row r="23" spans="1:18" x14ac:dyDescent="0.3">
      <c r="A23" t="s">
        <v>65</v>
      </c>
      <c r="B23" t="s">
        <v>15</v>
      </c>
      <c r="C23" t="s">
        <v>12</v>
      </c>
      <c r="D23" t="s">
        <v>16</v>
      </c>
      <c r="E23">
        <v>110</v>
      </c>
      <c r="F23">
        <v>148</v>
      </c>
      <c r="G23">
        <v>92</v>
      </c>
      <c r="H23">
        <v>143</v>
      </c>
      <c r="I23">
        <v>900</v>
      </c>
      <c r="J23" s="1">
        <v>46071</v>
      </c>
      <c r="K23">
        <f t="shared" si="0"/>
        <v>1.1956521739130435</v>
      </c>
      <c r="L23" t="str">
        <f t="shared" si="7"/>
        <v>Yes</v>
      </c>
      <c r="M23" t="str">
        <f t="shared" si="1"/>
        <v>Critical</v>
      </c>
      <c r="N23">
        <f t="shared" si="2"/>
        <v>99000</v>
      </c>
      <c r="O23">
        <f t="shared" si="3"/>
        <v>13690</v>
      </c>
      <c r="P23" t="str">
        <f t="shared" si="4"/>
        <v>High</v>
      </c>
      <c r="Q23">
        <f t="shared" si="5"/>
        <v>99000</v>
      </c>
      <c r="R23" t="str">
        <f t="shared" si="6"/>
        <v>No</v>
      </c>
    </row>
    <row r="24" spans="1:18" x14ac:dyDescent="0.3">
      <c r="A24" t="s">
        <v>66</v>
      </c>
      <c r="B24" t="s">
        <v>18</v>
      </c>
      <c r="C24" t="s">
        <v>19</v>
      </c>
      <c r="D24" t="s">
        <v>20</v>
      </c>
      <c r="E24">
        <v>82</v>
      </c>
      <c r="F24">
        <v>66</v>
      </c>
      <c r="G24">
        <v>284</v>
      </c>
      <c r="H24">
        <v>141</v>
      </c>
      <c r="I24">
        <v>120</v>
      </c>
      <c r="J24" s="1">
        <v>46082</v>
      </c>
      <c r="K24">
        <f t="shared" si="0"/>
        <v>0.28873239436619719</v>
      </c>
      <c r="L24" t="str">
        <f t="shared" si="7"/>
        <v>No</v>
      </c>
      <c r="M24" t="str">
        <f t="shared" si="1"/>
        <v>Low</v>
      </c>
      <c r="N24">
        <f t="shared" si="2"/>
        <v>9840</v>
      </c>
      <c r="O24">
        <f t="shared" si="3"/>
        <v>41950</v>
      </c>
      <c r="P24" t="str">
        <f t="shared" si="4"/>
        <v>High</v>
      </c>
      <c r="Q24">
        <f t="shared" si="5"/>
        <v>9840</v>
      </c>
      <c r="R24" t="str">
        <f t="shared" si="6"/>
        <v>No</v>
      </c>
    </row>
    <row r="25" spans="1:18" x14ac:dyDescent="0.3">
      <c r="A25" t="s">
        <v>67</v>
      </c>
      <c r="B25" t="s">
        <v>22</v>
      </c>
      <c r="C25" t="s">
        <v>23</v>
      </c>
      <c r="D25" t="s">
        <v>24</v>
      </c>
      <c r="E25">
        <v>102</v>
      </c>
      <c r="F25">
        <v>128</v>
      </c>
      <c r="G25">
        <v>162</v>
      </c>
      <c r="H25">
        <v>286</v>
      </c>
      <c r="I25">
        <v>250</v>
      </c>
      <c r="J25" s="1">
        <v>46078</v>
      </c>
      <c r="K25">
        <f t="shared" si="0"/>
        <v>0.62962962962962965</v>
      </c>
      <c r="L25" t="str">
        <f t="shared" si="7"/>
        <v>Yes</v>
      </c>
      <c r="M25" t="str">
        <f t="shared" si="1"/>
        <v>Critical</v>
      </c>
      <c r="N25">
        <f t="shared" si="2"/>
        <v>25500</v>
      </c>
      <c r="O25">
        <f t="shared" si="3"/>
        <v>47364</v>
      </c>
      <c r="P25" t="str">
        <f t="shared" si="4"/>
        <v>High</v>
      </c>
      <c r="Q25">
        <f t="shared" si="5"/>
        <v>25500</v>
      </c>
      <c r="R25" t="str">
        <f t="shared" si="6"/>
        <v>No</v>
      </c>
    </row>
    <row r="26" spans="1:18" x14ac:dyDescent="0.3">
      <c r="A26" t="s">
        <v>68</v>
      </c>
      <c r="B26" t="s">
        <v>26</v>
      </c>
      <c r="C26" t="s">
        <v>27</v>
      </c>
      <c r="D26" t="s">
        <v>28</v>
      </c>
      <c r="E26">
        <v>213</v>
      </c>
      <c r="F26">
        <v>225</v>
      </c>
      <c r="G26">
        <v>129</v>
      </c>
      <c r="H26">
        <v>123</v>
      </c>
      <c r="I26">
        <v>300</v>
      </c>
      <c r="J26" s="1">
        <v>46068</v>
      </c>
      <c r="K26">
        <f t="shared" si="0"/>
        <v>1.6511627906976745</v>
      </c>
      <c r="L26" t="str">
        <f t="shared" si="7"/>
        <v>Yes</v>
      </c>
      <c r="M26" t="str">
        <f t="shared" si="1"/>
        <v>Critical</v>
      </c>
      <c r="N26">
        <f t="shared" si="2"/>
        <v>63900</v>
      </c>
      <c r="O26">
        <f t="shared" si="3"/>
        <v>16557</v>
      </c>
      <c r="P26" t="str">
        <f t="shared" si="4"/>
        <v>High</v>
      </c>
      <c r="Q26">
        <f t="shared" si="5"/>
        <v>63900</v>
      </c>
      <c r="R26" t="str">
        <f t="shared" si="6"/>
        <v>No</v>
      </c>
    </row>
    <row r="27" spans="1:18" x14ac:dyDescent="0.3">
      <c r="A27" t="s">
        <v>69</v>
      </c>
      <c r="B27" t="s">
        <v>30</v>
      </c>
      <c r="C27" t="s">
        <v>31</v>
      </c>
      <c r="D27" t="s">
        <v>39</v>
      </c>
      <c r="E27">
        <v>274</v>
      </c>
      <c r="F27">
        <v>112</v>
      </c>
      <c r="G27">
        <v>244</v>
      </c>
      <c r="H27">
        <v>287</v>
      </c>
      <c r="I27">
        <v>50</v>
      </c>
      <c r="J27" s="1">
        <v>46086</v>
      </c>
      <c r="K27">
        <f t="shared" si="0"/>
        <v>1.1229508196721312</v>
      </c>
      <c r="L27" t="str">
        <f t="shared" si="7"/>
        <v>No</v>
      </c>
      <c r="M27" t="str">
        <f t="shared" si="1"/>
        <v>Low</v>
      </c>
      <c r="N27">
        <f t="shared" si="2"/>
        <v>13700</v>
      </c>
      <c r="O27">
        <f t="shared" si="3"/>
        <v>71462</v>
      </c>
      <c r="P27" t="str">
        <f t="shared" si="4"/>
        <v>High</v>
      </c>
      <c r="Q27">
        <f t="shared" si="5"/>
        <v>13700</v>
      </c>
      <c r="R27" t="str">
        <f t="shared" si="6"/>
        <v>No</v>
      </c>
    </row>
    <row r="28" spans="1:18" x14ac:dyDescent="0.3">
      <c r="A28" t="s">
        <v>70</v>
      </c>
      <c r="B28" t="s">
        <v>34</v>
      </c>
      <c r="C28" t="s">
        <v>35</v>
      </c>
      <c r="D28" t="s">
        <v>36</v>
      </c>
      <c r="E28">
        <v>210</v>
      </c>
      <c r="F28">
        <v>17</v>
      </c>
      <c r="G28">
        <v>92</v>
      </c>
      <c r="H28">
        <v>198</v>
      </c>
      <c r="I28">
        <v>150</v>
      </c>
      <c r="J28" s="1">
        <v>46073</v>
      </c>
      <c r="K28">
        <f t="shared" si="0"/>
        <v>2.2826086956521738</v>
      </c>
      <c r="L28" t="str">
        <f t="shared" si="7"/>
        <v>No</v>
      </c>
      <c r="M28" t="str">
        <f t="shared" si="1"/>
        <v>Low</v>
      </c>
      <c r="N28">
        <f t="shared" si="2"/>
        <v>31500</v>
      </c>
      <c r="O28">
        <f t="shared" si="3"/>
        <v>18650</v>
      </c>
      <c r="P28" t="str">
        <f t="shared" si="4"/>
        <v>High</v>
      </c>
      <c r="Q28">
        <f t="shared" si="5"/>
        <v>31500</v>
      </c>
      <c r="R28" t="str">
        <f t="shared" si="6"/>
        <v>No</v>
      </c>
    </row>
    <row r="29" spans="1:18" x14ac:dyDescent="0.3">
      <c r="A29" t="s">
        <v>71</v>
      </c>
      <c r="B29" t="s">
        <v>38</v>
      </c>
      <c r="C29" t="s">
        <v>19</v>
      </c>
      <c r="D29" t="s">
        <v>36</v>
      </c>
      <c r="E29">
        <v>240</v>
      </c>
      <c r="F29">
        <v>139</v>
      </c>
      <c r="G29">
        <v>200</v>
      </c>
      <c r="H29">
        <v>79</v>
      </c>
      <c r="I29">
        <v>200</v>
      </c>
      <c r="J29" s="1">
        <v>46083</v>
      </c>
      <c r="K29">
        <f t="shared" si="0"/>
        <v>1.2</v>
      </c>
      <c r="L29" t="str">
        <f t="shared" si="7"/>
        <v>No</v>
      </c>
      <c r="M29" t="str">
        <f t="shared" si="1"/>
        <v>Low</v>
      </c>
      <c r="N29">
        <f t="shared" si="2"/>
        <v>48000</v>
      </c>
      <c r="O29">
        <f t="shared" si="3"/>
        <v>16960</v>
      </c>
      <c r="P29" t="str">
        <f t="shared" si="4"/>
        <v>High</v>
      </c>
      <c r="Q29">
        <f t="shared" si="5"/>
        <v>48000</v>
      </c>
      <c r="R29" t="str">
        <f t="shared" si="6"/>
        <v>No</v>
      </c>
    </row>
    <row r="30" spans="1:18" x14ac:dyDescent="0.3">
      <c r="A30" t="s">
        <v>72</v>
      </c>
      <c r="B30" t="s">
        <v>41</v>
      </c>
      <c r="C30" t="s">
        <v>23</v>
      </c>
      <c r="D30" t="s">
        <v>24</v>
      </c>
      <c r="E30">
        <v>30</v>
      </c>
      <c r="F30">
        <v>60</v>
      </c>
      <c r="G30">
        <v>8</v>
      </c>
      <c r="H30">
        <v>7</v>
      </c>
      <c r="I30">
        <v>180</v>
      </c>
      <c r="J30" s="1">
        <v>46075</v>
      </c>
      <c r="K30">
        <f t="shared" si="0"/>
        <v>3.75</v>
      </c>
      <c r="L30" t="str">
        <f t="shared" si="7"/>
        <v>Yes</v>
      </c>
      <c r="M30" t="str">
        <f t="shared" si="1"/>
        <v>Critical</v>
      </c>
      <c r="N30">
        <f t="shared" si="2"/>
        <v>5400</v>
      </c>
      <c r="O30">
        <f t="shared" si="3"/>
        <v>82</v>
      </c>
      <c r="P30" t="str">
        <f t="shared" si="4"/>
        <v>High</v>
      </c>
      <c r="Q30">
        <f t="shared" si="5"/>
        <v>5400</v>
      </c>
      <c r="R30" t="str">
        <f t="shared" si="6"/>
        <v>No</v>
      </c>
    </row>
    <row r="31" spans="1:18" x14ac:dyDescent="0.3">
      <c r="A31" t="s">
        <v>73</v>
      </c>
      <c r="B31" t="s">
        <v>43</v>
      </c>
      <c r="C31" t="s">
        <v>27</v>
      </c>
      <c r="D31" t="s">
        <v>16</v>
      </c>
      <c r="E31">
        <v>25</v>
      </c>
      <c r="F31">
        <v>50</v>
      </c>
      <c r="G31">
        <v>5</v>
      </c>
      <c r="H31">
        <v>15</v>
      </c>
      <c r="I31">
        <v>220</v>
      </c>
      <c r="J31" s="1">
        <v>46081</v>
      </c>
      <c r="K31">
        <f t="shared" si="0"/>
        <v>5</v>
      </c>
      <c r="L31" t="str">
        <f t="shared" si="7"/>
        <v>Yes</v>
      </c>
      <c r="M31" t="str">
        <f t="shared" si="1"/>
        <v>Critical</v>
      </c>
      <c r="N31">
        <f t="shared" si="2"/>
        <v>5500</v>
      </c>
      <c r="O31">
        <f t="shared" si="3"/>
        <v>85</v>
      </c>
      <c r="P31" t="str">
        <f t="shared" si="4"/>
        <v>High</v>
      </c>
      <c r="Q31">
        <f t="shared" si="5"/>
        <v>5500</v>
      </c>
      <c r="R31" t="str">
        <f t="shared" si="6"/>
        <v>No</v>
      </c>
    </row>
    <row r="32" spans="1:18" x14ac:dyDescent="0.3">
      <c r="A32" t="s">
        <v>74</v>
      </c>
      <c r="B32" t="s">
        <v>45</v>
      </c>
      <c r="C32" t="s">
        <v>12</v>
      </c>
      <c r="D32" t="s">
        <v>20</v>
      </c>
      <c r="E32">
        <v>300</v>
      </c>
      <c r="F32">
        <v>80</v>
      </c>
      <c r="G32">
        <v>2</v>
      </c>
      <c r="H32">
        <v>5</v>
      </c>
      <c r="I32">
        <v>1500</v>
      </c>
      <c r="J32" s="1">
        <v>46065</v>
      </c>
      <c r="K32">
        <f t="shared" si="0"/>
        <v>150</v>
      </c>
      <c r="L32" t="str">
        <f t="shared" si="7"/>
        <v>No</v>
      </c>
      <c r="M32" t="str">
        <f t="shared" si="1"/>
        <v>Safe</v>
      </c>
      <c r="N32">
        <f t="shared" si="2"/>
        <v>450000</v>
      </c>
      <c r="O32">
        <f t="shared" si="3"/>
        <v>0</v>
      </c>
      <c r="P32" t="str">
        <f t="shared" si="4"/>
        <v>Low</v>
      </c>
      <c r="Q32">
        <f t="shared" si="5"/>
        <v>0</v>
      </c>
      <c r="R32" t="str">
        <f t="shared" si="6"/>
        <v>Yes</v>
      </c>
    </row>
    <row r="33" spans="1:18" x14ac:dyDescent="0.3">
      <c r="A33" t="s">
        <v>75</v>
      </c>
      <c r="B33" t="s">
        <v>47</v>
      </c>
      <c r="C33" t="s">
        <v>23</v>
      </c>
      <c r="D33" t="s">
        <v>36</v>
      </c>
      <c r="E33">
        <v>200</v>
      </c>
      <c r="F33">
        <v>70</v>
      </c>
      <c r="G33">
        <v>6</v>
      </c>
      <c r="H33">
        <v>4</v>
      </c>
      <c r="I33">
        <v>30</v>
      </c>
      <c r="J33" s="1">
        <v>46084</v>
      </c>
      <c r="K33">
        <f t="shared" si="0"/>
        <v>33.333333333333336</v>
      </c>
      <c r="L33" t="str">
        <f t="shared" si="7"/>
        <v>No</v>
      </c>
      <c r="M33" t="str">
        <f t="shared" si="1"/>
        <v>Safe</v>
      </c>
      <c r="N33">
        <f t="shared" si="2"/>
        <v>6000</v>
      </c>
      <c r="O33">
        <f t="shared" si="3"/>
        <v>0</v>
      </c>
      <c r="P33" t="str">
        <f t="shared" si="4"/>
        <v>Low</v>
      </c>
      <c r="Q33">
        <f t="shared" si="5"/>
        <v>0</v>
      </c>
      <c r="R33" t="str">
        <f t="shared" si="6"/>
        <v>No</v>
      </c>
    </row>
    <row r="34" spans="1:18" x14ac:dyDescent="0.3">
      <c r="A34" t="s">
        <v>76</v>
      </c>
      <c r="B34" t="s">
        <v>49</v>
      </c>
      <c r="C34" t="s">
        <v>27</v>
      </c>
      <c r="D34" t="s">
        <v>28</v>
      </c>
      <c r="E34">
        <v>277</v>
      </c>
      <c r="F34">
        <v>135</v>
      </c>
      <c r="G34">
        <v>137</v>
      </c>
      <c r="H34">
        <v>290</v>
      </c>
      <c r="I34">
        <v>90</v>
      </c>
      <c r="J34" s="1">
        <v>46070</v>
      </c>
      <c r="K34">
        <f t="shared" ref="K34:K65" si="8">IFERROR(E34/G34,0)</f>
        <v>2.0218978102189782</v>
      </c>
      <c r="L34" t="str">
        <f t="shared" si="7"/>
        <v>No</v>
      </c>
      <c r="M34" t="str">
        <f t="shared" ref="M34:M65" si="9">IF(E34&lt;=F34,"Critical",IF(K34&lt;=(H34+3),"Low","Safe"))</f>
        <v>Low</v>
      </c>
      <c r="N34">
        <f t="shared" si="2"/>
        <v>24930</v>
      </c>
      <c r="O34">
        <f t="shared" ref="O34:O65" si="10">MAX((G34*(H34+7))-E34,0)</f>
        <v>40412</v>
      </c>
      <c r="P34" t="str">
        <f t="shared" ref="P34:P65" si="11">IF(K34&lt;H34,"High",IF(K34&lt;=(H34+3),"Medium","Low"))</f>
        <v>High</v>
      </c>
      <c r="Q34">
        <f t="shared" ref="Q34:Q65" si="12">IF(OR(M34="Critical",M34="Low"),N34,0)</f>
        <v>24930</v>
      </c>
      <c r="R34" t="str">
        <f t="shared" ref="R34:R65" si="13">IF(K34&gt;45,"Yes","No")</f>
        <v>No</v>
      </c>
    </row>
    <row r="35" spans="1:18" x14ac:dyDescent="0.3">
      <c r="A35" t="s">
        <v>77</v>
      </c>
      <c r="B35" t="s">
        <v>51</v>
      </c>
      <c r="C35" t="s">
        <v>31</v>
      </c>
      <c r="D35" t="s">
        <v>32</v>
      </c>
      <c r="E35">
        <v>171</v>
      </c>
      <c r="F35">
        <v>153</v>
      </c>
      <c r="G35">
        <v>216</v>
      </c>
      <c r="H35">
        <v>189</v>
      </c>
      <c r="I35">
        <v>40</v>
      </c>
      <c r="J35" s="1">
        <v>46087</v>
      </c>
      <c r="K35">
        <f t="shared" si="8"/>
        <v>0.79166666666666663</v>
      </c>
      <c r="L35" t="str">
        <f t="shared" si="7"/>
        <v>No</v>
      </c>
      <c r="M35" t="str">
        <f t="shared" si="9"/>
        <v>Low</v>
      </c>
      <c r="N35">
        <f t="shared" si="2"/>
        <v>6840</v>
      </c>
      <c r="O35">
        <f t="shared" si="10"/>
        <v>42165</v>
      </c>
      <c r="P35" t="str">
        <f t="shared" si="11"/>
        <v>High</v>
      </c>
      <c r="Q35">
        <f t="shared" si="12"/>
        <v>6840</v>
      </c>
      <c r="R35" t="str">
        <f t="shared" si="13"/>
        <v>No</v>
      </c>
    </row>
    <row r="36" spans="1:18" x14ac:dyDescent="0.3">
      <c r="A36" t="s">
        <v>78</v>
      </c>
      <c r="B36" t="s">
        <v>53</v>
      </c>
      <c r="C36" t="s">
        <v>35</v>
      </c>
      <c r="D36" t="s">
        <v>36</v>
      </c>
      <c r="E36">
        <v>53</v>
      </c>
      <c r="F36">
        <v>250</v>
      </c>
      <c r="G36">
        <v>260</v>
      </c>
      <c r="H36">
        <v>88</v>
      </c>
      <c r="I36">
        <v>500</v>
      </c>
      <c r="J36" s="1">
        <v>46072</v>
      </c>
      <c r="K36">
        <f t="shared" si="8"/>
        <v>0.20384615384615384</v>
      </c>
      <c r="L36" t="str">
        <f t="shared" si="7"/>
        <v>Yes</v>
      </c>
      <c r="M36" t="str">
        <f t="shared" si="9"/>
        <v>Critical</v>
      </c>
      <c r="N36">
        <f t="shared" si="2"/>
        <v>26500</v>
      </c>
      <c r="O36">
        <f t="shared" si="10"/>
        <v>24647</v>
      </c>
      <c r="P36" t="str">
        <f t="shared" si="11"/>
        <v>High</v>
      </c>
      <c r="Q36">
        <f t="shared" si="12"/>
        <v>26500</v>
      </c>
      <c r="R36" t="str">
        <f t="shared" si="13"/>
        <v>No</v>
      </c>
    </row>
    <row r="37" spans="1:18" x14ac:dyDescent="0.3">
      <c r="A37" t="s">
        <v>79</v>
      </c>
      <c r="B37" t="s">
        <v>55</v>
      </c>
      <c r="C37" t="s">
        <v>19</v>
      </c>
      <c r="D37" t="s">
        <v>20</v>
      </c>
      <c r="E37">
        <v>166</v>
      </c>
      <c r="F37">
        <v>264</v>
      </c>
      <c r="G37">
        <v>159</v>
      </c>
      <c r="H37">
        <v>216</v>
      </c>
      <c r="I37">
        <v>1200</v>
      </c>
      <c r="J37" s="1">
        <v>46067</v>
      </c>
      <c r="K37">
        <f t="shared" si="8"/>
        <v>1.0440251572327044</v>
      </c>
      <c r="L37" t="str">
        <f t="shared" si="7"/>
        <v>Yes</v>
      </c>
      <c r="M37" t="str">
        <f t="shared" si="9"/>
        <v>Critical</v>
      </c>
      <c r="N37">
        <f t="shared" si="2"/>
        <v>199200</v>
      </c>
      <c r="O37">
        <f t="shared" si="10"/>
        <v>35291</v>
      </c>
      <c r="P37" t="str">
        <f t="shared" si="11"/>
        <v>High</v>
      </c>
      <c r="Q37">
        <f t="shared" si="12"/>
        <v>199200</v>
      </c>
      <c r="R37" t="str">
        <f t="shared" si="13"/>
        <v>No</v>
      </c>
    </row>
    <row r="38" spans="1:18" x14ac:dyDescent="0.3">
      <c r="A38" t="s">
        <v>80</v>
      </c>
      <c r="B38" t="s">
        <v>57</v>
      </c>
      <c r="C38" t="s">
        <v>23</v>
      </c>
      <c r="D38" t="s">
        <v>13</v>
      </c>
      <c r="E38">
        <v>70</v>
      </c>
      <c r="F38">
        <v>252</v>
      </c>
      <c r="G38">
        <v>148</v>
      </c>
      <c r="H38">
        <v>204</v>
      </c>
      <c r="I38">
        <v>20</v>
      </c>
      <c r="J38" s="1">
        <v>46082</v>
      </c>
      <c r="K38">
        <f t="shared" si="8"/>
        <v>0.47297297297297297</v>
      </c>
      <c r="L38" t="str">
        <f t="shared" si="7"/>
        <v>Yes</v>
      </c>
      <c r="M38" t="str">
        <f t="shared" si="9"/>
        <v>Critical</v>
      </c>
      <c r="N38">
        <f t="shared" si="2"/>
        <v>1400</v>
      </c>
      <c r="O38">
        <f t="shared" si="10"/>
        <v>31158</v>
      </c>
      <c r="P38" t="str">
        <f t="shared" si="11"/>
        <v>High</v>
      </c>
      <c r="Q38">
        <f t="shared" si="12"/>
        <v>1400</v>
      </c>
      <c r="R38" t="str">
        <f t="shared" si="13"/>
        <v>No</v>
      </c>
    </row>
    <row r="39" spans="1:18" x14ac:dyDescent="0.3">
      <c r="A39" t="s">
        <v>81</v>
      </c>
      <c r="B39" t="s">
        <v>59</v>
      </c>
      <c r="C39" t="s">
        <v>27</v>
      </c>
      <c r="D39" t="s">
        <v>16</v>
      </c>
      <c r="E39">
        <v>219</v>
      </c>
      <c r="F39">
        <v>196</v>
      </c>
      <c r="G39">
        <v>96</v>
      </c>
      <c r="H39">
        <v>24</v>
      </c>
      <c r="I39">
        <v>350</v>
      </c>
      <c r="J39" s="1">
        <v>46076</v>
      </c>
      <c r="K39">
        <f t="shared" si="8"/>
        <v>2.28125</v>
      </c>
      <c r="L39" t="str">
        <f t="shared" si="7"/>
        <v>No</v>
      </c>
      <c r="M39" t="str">
        <f t="shared" si="9"/>
        <v>Low</v>
      </c>
      <c r="N39">
        <f t="shared" si="2"/>
        <v>76650</v>
      </c>
      <c r="O39">
        <f t="shared" si="10"/>
        <v>2757</v>
      </c>
      <c r="P39" t="str">
        <f t="shared" si="11"/>
        <v>High</v>
      </c>
      <c r="Q39">
        <f t="shared" si="12"/>
        <v>76650</v>
      </c>
      <c r="R39" t="str">
        <f t="shared" si="13"/>
        <v>No</v>
      </c>
    </row>
    <row r="40" spans="1:18" x14ac:dyDescent="0.3">
      <c r="A40" t="s">
        <v>82</v>
      </c>
      <c r="B40" t="s">
        <v>61</v>
      </c>
      <c r="C40" t="s">
        <v>31</v>
      </c>
      <c r="D40" t="s">
        <v>28</v>
      </c>
      <c r="E40">
        <v>138</v>
      </c>
      <c r="F40">
        <v>212</v>
      </c>
      <c r="G40">
        <v>88</v>
      </c>
      <c r="H40">
        <v>274</v>
      </c>
      <c r="I40">
        <v>300</v>
      </c>
      <c r="J40" s="1">
        <v>46085</v>
      </c>
      <c r="K40">
        <f t="shared" si="8"/>
        <v>1.5681818181818181</v>
      </c>
      <c r="L40" t="str">
        <f t="shared" si="7"/>
        <v>Yes</v>
      </c>
      <c r="M40" t="str">
        <f t="shared" si="9"/>
        <v>Critical</v>
      </c>
      <c r="N40">
        <f t="shared" si="2"/>
        <v>41400</v>
      </c>
      <c r="O40">
        <f t="shared" si="10"/>
        <v>24590</v>
      </c>
      <c r="P40" t="str">
        <f t="shared" si="11"/>
        <v>High</v>
      </c>
      <c r="Q40">
        <f t="shared" si="12"/>
        <v>41400</v>
      </c>
      <c r="R40" t="str">
        <f t="shared" si="13"/>
        <v>No</v>
      </c>
    </row>
    <row r="41" spans="1:18" x14ac:dyDescent="0.3">
      <c r="A41" t="s">
        <v>83</v>
      </c>
      <c r="B41" t="s">
        <v>63</v>
      </c>
      <c r="C41" t="s">
        <v>35</v>
      </c>
      <c r="D41" t="s">
        <v>16</v>
      </c>
      <c r="E41">
        <v>132</v>
      </c>
      <c r="F41">
        <v>42</v>
      </c>
      <c r="G41">
        <v>91</v>
      </c>
      <c r="H41">
        <v>19</v>
      </c>
      <c r="I41">
        <v>250</v>
      </c>
      <c r="J41" s="1">
        <v>46069</v>
      </c>
      <c r="K41">
        <f t="shared" si="8"/>
        <v>1.4505494505494505</v>
      </c>
      <c r="L41" t="str">
        <f t="shared" si="7"/>
        <v>No</v>
      </c>
      <c r="M41" t="str">
        <f t="shared" si="9"/>
        <v>Low</v>
      </c>
      <c r="N41">
        <f t="shared" si="2"/>
        <v>33000</v>
      </c>
      <c r="O41">
        <f t="shared" si="10"/>
        <v>2234</v>
      </c>
      <c r="P41" t="str">
        <f t="shared" si="11"/>
        <v>High</v>
      </c>
      <c r="Q41">
        <f t="shared" si="12"/>
        <v>33000</v>
      </c>
      <c r="R41" t="str">
        <f t="shared" si="13"/>
        <v>No</v>
      </c>
    </row>
    <row r="42" spans="1:18" x14ac:dyDescent="0.3">
      <c r="A42" t="s">
        <v>84</v>
      </c>
      <c r="B42" t="s">
        <v>11</v>
      </c>
      <c r="C42" t="s">
        <v>12</v>
      </c>
      <c r="D42" t="s">
        <v>24</v>
      </c>
      <c r="E42">
        <v>10</v>
      </c>
      <c r="F42">
        <v>183</v>
      </c>
      <c r="G42">
        <v>189</v>
      </c>
      <c r="H42">
        <v>119</v>
      </c>
      <c r="I42">
        <v>800</v>
      </c>
      <c r="J42" s="1">
        <v>46063</v>
      </c>
      <c r="K42">
        <f t="shared" si="8"/>
        <v>5.2910052910052907E-2</v>
      </c>
      <c r="L42" t="str">
        <f t="shared" si="7"/>
        <v>Yes</v>
      </c>
      <c r="M42" t="str">
        <f t="shared" si="9"/>
        <v>Critical</v>
      </c>
      <c r="N42">
        <f t="shared" si="2"/>
        <v>8000</v>
      </c>
      <c r="O42">
        <f t="shared" si="10"/>
        <v>23804</v>
      </c>
      <c r="P42" t="str">
        <f t="shared" si="11"/>
        <v>High</v>
      </c>
      <c r="Q42">
        <f t="shared" si="12"/>
        <v>8000</v>
      </c>
      <c r="R42" t="str">
        <f t="shared" si="13"/>
        <v>No</v>
      </c>
    </row>
    <row r="43" spans="1:18" x14ac:dyDescent="0.3">
      <c r="A43" t="s">
        <v>85</v>
      </c>
      <c r="B43" t="s">
        <v>15</v>
      </c>
      <c r="C43" t="s">
        <v>12</v>
      </c>
      <c r="D43" t="s">
        <v>28</v>
      </c>
      <c r="E43">
        <v>270</v>
      </c>
      <c r="F43">
        <v>75</v>
      </c>
      <c r="G43">
        <v>253</v>
      </c>
      <c r="H43">
        <v>241</v>
      </c>
      <c r="I43">
        <v>900</v>
      </c>
      <c r="J43" s="1">
        <v>46071</v>
      </c>
      <c r="K43">
        <f t="shared" si="8"/>
        <v>1.0671936758893281</v>
      </c>
      <c r="L43" t="str">
        <f t="shared" si="7"/>
        <v>No</v>
      </c>
      <c r="M43" t="str">
        <f t="shared" si="9"/>
        <v>Low</v>
      </c>
      <c r="N43">
        <f t="shared" si="2"/>
        <v>243000</v>
      </c>
      <c r="O43">
        <f t="shared" si="10"/>
        <v>62474</v>
      </c>
      <c r="P43" t="str">
        <f t="shared" si="11"/>
        <v>High</v>
      </c>
      <c r="Q43">
        <f t="shared" si="12"/>
        <v>243000</v>
      </c>
      <c r="R43" t="str">
        <f t="shared" si="13"/>
        <v>No</v>
      </c>
    </row>
    <row r="44" spans="1:18" x14ac:dyDescent="0.3">
      <c r="A44" t="s">
        <v>86</v>
      </c>
      <c r="B44" t="s">
        <v>18</v>
      </c>
      <c r="C44" t="s">
        <v>19</v>
      </c>
      <c r="D44" t="s">
        <v>20</v>
      </c>
      <c r="E44">
        <v>133</v>
      </c>
      <c r="F44">
        <v>232</v>
      </c>
      <c r="G44">
        <v>102</v>
      </c>
      <c r="H44">
        <v>187</v>
      </c>
      <c r="I44">
        <v>120</v>
      </c>
      <c r="J44" s="1">
        <v>46082</v>
      </c>
      <c r="K44">
        <f t="shared" si="8"/>
        <v>1.303921568627451</v>
      </c>
      <c r="L44" t="str">
        <f t="shared" si="7"/>
        <v>Yes</v>
      </c>
      <c r="M44" t="str">
        <f t="shared" si="9"/>
        <v>Critical</v>
      </c>
      <c r="N44">
        <f t="shared" si="2"/>
        <v>15960</v>
      </c>
      <c r="O44">
        <f t="shared" si="10"/>
        <v>19655</v>
      </c>
      <c r="P44" t="str">
        <f t="shared" si="11"/>
        <v>High</v>
      </c>
      <c r="Q44">
        <f t="shared" si="12"/>
        <v>15960</v>
      </c>
      <c r="R44" t="str">
        <f t="shared" si="13"/>
        <v>No</v>
      </c>
    </row>
    <row r="45" spans="1:18" x14ac:dyDescent="0.3">
      <c r="A45" t="s">
        <v>87</v>
      </c>
      <c r="B45" t="s">
        <v>22</v>
      </c>
      <c r="C45" t="s">
        <v>23</v>
      </c>
      <c r="D45" t="s">
        <v>24</v>
      </c>
      <c r="E45">
        <v>35</v>
      </c>
      <c r="F45">
        <v>70</v>
      </c>
      <c r="G45">
        <v>9</v>
      </c>
      <c r="H45">
        <v>6</v>
      </c>
      <c r="I45">
        <v>250</v>
      </c>
      <c r="J45" s="1">
        <v>46078</v>
      </c>
      <c r="K45">
        <f t="shared" si="8"/>
        <v>3.8888888888888888</v>
      </c>
      <c r="L45" t="str">
        <f t="shared" si="7"/>
        <v>Yes</v>
      </c>
      <c r="M45" t="str">
        <f t="shared" si="9"/>
        <v>Critical</v>
      </c>
      <c r="N45">
        <f t="shared" si="2"/>
        <v>8750</v>
      </c>
      <c r="O45">
        <f t="shared" si="10"/>
        <v>82</v>
      </c>
      <c r="P45" t="str">
        <f t="shared" si="11"/>
        <v>High</v>
      </c>
      <c r="Q45">
        <f t="shared" si="12"/>
        <v>8750</v>
      </c>
      <c r="R45" t="str">
        <f t="shared" si="13"/>
        <v>No</v>
      </c>
    </row>
    <row r="46" spans="1:18" x14ac:dyDescent="0.3">
      <c r="A46" t="s">
        <v>88</v>
      </c>
      <c r="B46" t="s">
        <v>26</v>
      </c>
      <c r="C46" t="s">
        <v>27</v>
      </c>
      <c r="D46" t="s">
        <v>28</v>
      </c>
      <c r="E46">
        <v>20</v>
      </c>
      <c r="F46">
        <v>45</v>
      </c>
      <c r="G46">
        <v>4</v>
      </c>
      <c r="H46">
        <v>14</v>
      </c>
      <c r="I46">
        <v>300</v>
      </c>
      <c r="J46" s="1">
        <v>46068</v>
      </c>
      <c r="K46">
        <f t="shared" si="8"/>
        <v>5</v>
      </c>
      <c r="L46" t="str">
        <f t="shared" si="7"/>
        <v>Yes</v>
      </c>
      <c r="M46" t="str">
        <f t="shared" si="9"/>
        <v>Critical</v>
      </c>
      <c r="N46">
        <f t="shared" si="2"/>
        <v>6000</v>
      </c>
      <c r="O46">
        <f t="shared" si="10"/>
        <v>64</v>
      </c>
      <c r="P46" t="str">
        <f t="shared" si="11"/>
        <v>High</v>
      </c>
      <c r="Q46">
        <f t="shared" si="12"/>
        <v>6000</v>
      </c>
      <c r="R46" t="str">
        <f t="shared" si="13"/>
        <v>No</v>
      </c>
    </row>
    <row r="47" spans="1:18" x14ac:dyDescent="0.3">
      <c r="A47" t="s">
        <v>89</v>
      </c>
      <c r="B47" t="s">
        <v>30</v>
      </c>
      <c r="C47" t="s">
        <v>31</v>
      </c>
      <c r="D47" t="s">
        <v>32</v>
      </c>
      <c r="E47">
        <v>280</v>
      </c>
      <c r="F47">
        <v>75</v>
      </c>
      <c r="G47">
        <v>7</v>
      </c>
      <c r="H47">
        <v>4</v>
      </c>
      <c r="I47">
        <v>50</v>
      </c>
      <c r="J47" s="1">
        <v>46086</v>
      </c>
      <c r="K47">
        <f t="shared" si="8"/>
        <v>40</v>
      </c>
      <c r="L47" t="str">
        <f t="shared" si="7"/>
        <v>No</v>
      </c>
      <c r="M47" t="str">
        <f t="shared" si="9"/>
        <v>Safe</v>
      </c>
      <c r="N47">
        <f t="shared" si="2"/>
        <v>14000</v>
      </c>
      <c r="O47">
        <f t="shared" si="10"/>
        <v>0</v>
      </c>
      <c r="P47" t="str">
        <f t="shared" si="11"/>
        <v>Low</v>
      </c>
      <c r="Q47">
        <f t="shared" si="12"/>
        <v>0</v>
      </c>
      <c r="R47" t="str">
        <f t="shared" si="13"/>
        <v>No</v>
      </c>
    </row>
    <row r="48" spans="1:18" x14ac:dyDescent="0.3">
      <c r="A48" t="s">
        <v>90</v>
      </c>
      <c r="B48" t="s">
        <v>34</v>
      </c>
      <c r="C48" t="s">
        <v>35</v>
      </c>
      <c r="D48" t="s">
        <v>36</v>
      </c>
      <c r="E48">
        <v>162</v>
      </c>
      <c r="F48">
        <v>183</v>
      </c>
      <c r="G48">
        <v>124</v>
      </c>
      <c r="H48">
        <v>184</v>
      </c>
      <c r="I48">
        <v>150</v>
      </c>
      <c r="J48" s="1">
        <v>46073</v>
      </c>
      <c r="K48">
        <f t="shared" si="8"/>
        <v>1.3064516129032258</v>
      </c>
      <c r="L48" t="str">
        <f t="shared" si="7"/>
        <v>Yes</v>
      </c>
      <c r="M48" t="str">
        <f t="shared" si="9"/>
        <v>Critical</v>
      </c>
      <c r="N48">
        <f t="shared" si="2"/>
        <v>24300</v>
      </c>
      <c r="O48">
        <f t="shared" si="10"/>
        <v>23522</v>
      </c>
      <c r="P48" t="str">
        <f t="shared" si="11"/>
        <v>High</v>
      </c>
      <c r="Q48">
        <f t="shared" si="12"/>
        <v>24300</v>
      </c>
      <c r="R48" t="str">
        <f t="shared" si="13"/>
        <v>No</v>
      </c>
    </row>
    <row r="49" spans="1:18" x14ac:dyDescent="0.3">
      <c r="A49" t="s">
        <v>91</v>
      </c>
      <c r="B49" t="s">
        <v>38</v>
      </c>
      <c r="C49" t="s">
        <v>19</v>
      </c>
      <c r="D49" t="s">
        <v>39</v>
      </c>
      <c r="E49">
        <v>160</v>
      </c>
      <c r="F49">
        <v>245</v>
      </c>
      <c r="G49">
        <v>179</v>
      </c>
      <c r="H49">
        <v>88</v>
      </c>
      <c r="I49">
        <v>200</v>
      </c>
      <c r="J49" s="1">
        <v>46083</v>
      </c>
      <c r="K49">
        <f t="shared" si="8"/>
        <v>0.8938547486033519</v>
      </c>
      <c r="L49" t="str">
        <f t="shared" si="7"/>
        <v>Yes</v>
      </c>
      <c r="M49" t="str">
        <f t="shared" si="9"/>
        <v>Critical</v>
      </c>
      <c r="N49">
        <f t="shared" si="2"/>
        <v>32000</v>
      </c>
      <c r="O49">
        <f t="shared" si="10"/>
        <v>16845</v>
      </c>
      <c r="P49" t="str">
        <f t="shared" si="11"/>
        <v>High</v>
      </c>
      <c r="Q49">
        <f t="shared" si="12"/>
        <v>32000</v>
      </c>
      <c r="R49" t="str">
        <f t="shared" si="13"/>
        <v>No</v>
      </c>
    </row>
    <row r="50" spans="1:18" x14ac:dyDescent="0.3">
      <c r="A50" t="s">
        <v>92</v>
      </c>
      <c r="B50" t="s">
        <v>41</v>
      </c>
      <c r="C50" t="s">
        <v>23</v>
      </c>
      <c r="D50" t="s">
        <v>36</v>
      </c>
      <c r="E50">
        <v>162</v>
      </c>
      <c r="F50">
        <v>146</v>
      </c>
      <c r="G50">
        <v>57</v>
      </c>
      <c r="H50">
        <v>232</v>
      </c>
      <c r="I50">
        <v>180</v>
      </c>
      <c r="J50" s="1">
        <v>46075</v>
      </c>
      <c r="K50">
        <f t="shared" si="8"/>
        <v>2.8421052631578947</v>
      </c>
      <c r="L50" t="str">
        <f t="shared" si="7"/>
        <v>No</v>
      </c>
      <c r="M50" t="str">
        <f t="shared" si="9"/>
        <v>Low</v>
      </c>
      <c r="N50">
        <f t="shared" si="2"/>
        <v>29160</v>
      </c>
      <c r="O50">
        <f t="shared" si="10"/>
        <v>13461</v>
      </c>
      <c r="P50" t="str">
        <f t="shared" si="11"/>
        <v>High</v>
      </c>
      <c r="Q50">
        <f t="shared" si="12"/>
        <v>29160</v>
      </c>
      <c r="R50" t="str">
        <f t="shared" si="13"/>
        <v>No</v>
      </c>
    </row>
    <row r="51" spans="1:18" x14ac:dyDescent="0.3">
      <c r="A51" t="s">
        <v>93</v>
      </c>
      <c r="B51" t="s">
        <v>43</v>
      </c>
      <c r="C51" t="s">
        <v>27</v>
      </c>
      <c r="D51" t="s">
        <v>16</v>
      </c>
      <c r="E51">
        <v>98</v>
      </c>
      <c r="F51">
        <v>173</v>
      </c>
      <c r="G51">
        <v>217</v>
      </c>
      <c r="H51">
        <v>73</v>
      </c>
      <c r="I51">
        <v>220</v>
      </c>
      <c r="J51" s="1">
        <v>46081</v>
      </c>
      <c r="K51">
        <f t="shared" si="8"/>
        <v>0.45161290322580644</v>
      </c>
      <c r="L51" t="str">
        <f t="shared" si="7"/>
        <v>Yes</v>
      </c>
      <c r="M51" t="str">
        <f t="shared" si="9"/>
        <v>Critical</v>
      </c>
      <c r="N51">
        <f t="shared" si="2"/>
        <v>21560</v>
      </c>
      <c r="O51">
        <f t="shared" si="10"/>
        <v>17262</v>
      </c>
      <c r="P51" t="str">
        <f t="shared" si="11"/>
        <v>High</v>
      </c>
      <c r="Q51">
        <f t="shared" si="12"/>
        <v>21560</v>
      </c>
      <c r="R51" t="str">
        <f t="shared" si="13"/>
        <v>No</v>
      </c>
    </row>
    <row r="52" spans="1:18" x14ac:dyDescent="0.3">
      <c r="A52" t="s">
        <v>94</v>
      </c>
      <c r="B52" t="s">
        <v>45</v>
      </c>
      <c r="C52" t="s">
        <v>12</v>
      </c>
      <c r="D52" t="s">
        <v>20</v>
      </c>
      <c r="E52">
        <v>58</v>
      </c>
      <c r="F52">
        <v>94</v>
      </c>
      <c r="G52">
        <v>83</v>
      </c>
      <c r="H52">
        <v>98</v>
      </c>
      <c r="I52">
        <v>1500</v>
      </c>
      <c r="J52" s="1">
        <v>46065</v>
      </c>
      <c r="K52">
        <f t="shared" si="8"/>
        <v>0.6987951807228916</v>
      </c>
      <c r="L52" t="str">
        <f t="shared" si="7"/>
        <v>Yes</v>
      </c>
      <c r="M52" t="str">
        <f t="shared" si="9"/>
        <v>Critical</v>
      </c>
      <c r="N52">
        <f t="shared" si="2"/>
        <v>87000</v>
      </c>
      <c r="O52">
        <f t="shared" si="10"/>
        <v>8657</v>
      </c>
      <c r="P52" t="str">
        <f t="shared" si="11"/>
        <v>High</v>
      </c>
      <c r="Q52">
        <f t="shared" si="12"/>
        <v>87000</v>
      </c>
      <c r="R52" t="str">
        <f t="shared" si="13"/>
        <v>No</v>
      </c>
    </row>
    <row r="53" spans="1:18" x14ac:dyDescent="0.3">
      <c r="A53" t="s">
        <v>95</v>
      </c>
      <c r="B53" t="s">
        <v>47</v>
      </c>
      <c r="C53" t="s">
        <v>23</v>
      </c>
      <c r="D53" t="s">
        <v>24</v>
      </c>
      <c r="E53">
        <v>25</v>
      </c>
      <c r="F53">
        <v>33</v>
      </c>
      <c r="G53">
        <v>157</v>
      </c>
      <c r="H53">
        <v>177</v>
      </c>
      <c r="I53">
        <v>30</v>
      </c>
      <c r="J53" s="1">
        <v>46084</v>
      </c>
      <c r="K53">
        <f t="shared" si="8"/>
        <v>0.15923566878980891</v>
      </c>
      <c r="L53" t="str">
        <f t="shared" si="7"/>
        <v>Yes</v>
      </c>
      <c r="M53" t="str">
        <f t="shared" si="9"/>
        <v>Critical</v>
      </c>
      <c r="N53">
        <f t="shared" si="2"/>
        <v>750</v>
      </c>
      <c r="O53">
        <f t="shared" si="10"/>
        <v>28863</v>
      </c>
      <c r="P53" t="str">
        <f t="shared" si="11"/>
        <v>High</v>
      </c>
      <c r="Q53">
        <f t="shared" si="12"/>
        <v>750</v>
      </c>
      <c r="R53" t="str">
        <f t="shared" si="13"/>
        <v>No</v>
      </c>
    </row>
    <row r="54" spans="1:18" x14ac:dyDescent="0.3">
      <c r="A54" t="s">
        <v>96</v>
      </c>
      <c r="B54" t="s">
        <v>49</v>
      </c>
      <c r="C54" t="s">
        <v>27</v>
      </c>
      <c r="D54" t="s">
        <v>28</v>
      </c>
      <c r="E54">
        <v>48</v>
      </c>
      <c r="F54">
        <v>101</v>
      </c>
      <c r="G54">
        <v>272</v>
      </c>
      <c r="H54">
        <v>171</v>
      </c>
      <c r="I54">
        <v>90</v>
      </c>
      <c r="J54" s="1">
        <v>46070</v>
      </c>
      <c r="K54">
        <f t="shared" si="8"/>
        <v>0.17647058823529413</v>
      </c>
      <c r="L54" t="str">
        <f t="shared" si="7"/>
        <v>Yes</v>
      </c>
      <c r="M54" t="str">
        <f t="shared" si="9"/>
        <v>Critical</v>
      </c>
      <c r="N54">
        <f t="shared" si="2"/>
        <v>4320</v>
      </c>
      <c r="O54">
        <f t="shared" si="10"/>
        <v>48368</v>
      </c>
      <c r="P54" t="str">
        <f t="shared" si="11"/>
        <v>High</v>
      </c>
      <c r="Q54">
        <f t="shared" si="12"/>
        <v>4320</v>
      </c>
      <c r="R54" t="str">
        <f t="shared" si="13"/>
        <v>No</v>
      </c>
    </row>
    <row r="55" spans="1:18" x14ac:dyDescent="0.3">
      <c r="A55" t="s">
        <v>97</v>
      </c>
      <c r="B55" t="s">
        <v>51</v>
      </c>
      <c r="C55" t="s">
        <v>31</v>
      </c>
      <c r="D55" t="s">
        <v>24</v>
      </c>
      <c r="E55">
        <v>161</v>
      </c>
      <c r="F55">
        <v>55</v>
      </c>
      <c r="G55">
        <v>166</v>
      </c>
      <c r="H55">
        <v>159</v>
      </c>
      <c r="I55">
        <v>40</v>
      </c>
      <c r="J55" s="1">
        <v>46087</v>
      </c>
      <c r="K55">
        <f t="shared" si="8"/>
        <v>0.96987951807228912</v>
      </c>
      <c r="L55" t="str">
        <f t="shared" si="7"/>
        <v>No</v>
      </c>
      <c r="M55" t="str">
        <f t="shared" si="9"/>
        <v>Low</v>
      </c>
      <c r="N55">
        <f t="shared" si="2"/>
        <v>6440</v>
      </c>
      <c r="O55">
        <f t="shared" si="10"/>
        <v>27395</v>
      </c>
      <c r="P55" t="str">
        <f t="shared" si="11"/>
        <v>High</v>
      </c>
      <c r="Q55">
        <f t="shared" si="12"/>
        <v>6440</v>
      </c>
      <c r="R55" t="str">
        <f t="shared" si="13"/>
        <v>No</v>
      </c>
    </row>
    <row r="56" spans="1:18" x14ac:dyDescent="0.3">
      <c r="A56" t="s">
        <v>98</v>
      </c>
      <c r="B56" t="s">
        <v>53</v>
      </c>
      <c r="C56" t="s">
        <v>35</v>
      </c>
      <c r="D56" t="s">
        <v>36</v>
      </c>
      <c r="E56">
        <v>227</v>
      </c>
      <c r="F56">
        <v>210</v>
      </c>
      <c r="G56">
        <v>17</v>
      </c>
      <c r="H56">
        <v>187</v>
      </c>
      <c r="I56">
        <v>500</v>
      </c>
      <c r="J56" s="1">
        <v>46072</v>
      </c>
      <c r="K56">
        <f t="shared" si="8"/>
        <v>13.352941176470589</v>
      </c>
      <c r="L56" t="str">
        <f t="shared" si="7"/>
        <v>No</v>
      </c>
      <c r="M56" t="str">
        <f t="shared" si="9"/>
        <v>Low</v>
      </c>
      <c r="N56">
        <f t="shared" si="2"/>
        <v>113500</v>
      </c>
      <c r="O56">
        <f t="shared" si="10"/>
        <v>3071</v>
      </c>
      <c r="P56" t="str">
        <f t="shared" si="11"/>
        <v>High</v>
      </c>
      <c r="Q56">
        <f t="shared" si="12"/>
        <v>113500</v>
      </c>
      <c r="R56" t="str">
        <f t="shared" si="13"/>
        <v>No</v>
      </c>
    </row>
    <row r="57" spans="1:18" x14ac:dyDescent="0.3">
      <c r="A57" t="s">
        <v>99</v>
      </c>
      <c r="B57" t="s">
        <v>55</v>
      </c>
      <c r="C57" t="s">
        <v>19</v>
      </c>
      <c r="D57" t="s">
        <v>39</v>
      </c>
      <c r="E57">
        <v>274</v>
      </c>
      <c r="F57">
        <v>37</v>
      </c>
      <c r="G57">
        <v>212</v>
      </c>
      <c r="H57">
        <v>48</v>
      </c>
      <c r="I57">
        <v>1200</v>
      </c>
      <c r="J57" s="1">
        <v>46067</v>
      </c>
      <c r="K57">
        <f t="shared" si="8"/>
        <v>1.2924528301886793</v>
      </c>
      <c r="L57" t="str">
        <f t="shared" si="7"/>
        <v>No</v>
      </c>
      <c r="M57" t="str">
        <f t="shared" si="9"/>
        <v>Low</v>
      </c>
      <c r="N57">
        <f t="shared" si="2"/>
        <v>328800</v>
      </c>
      <c r="O57">
        <f t="shared" si="10"/>
        <v>11386</v>
      </c>
      <c r="P57" t="str">
        <f t="shared" si="11"/>
        <v>High</v>
      </c>
      <c r="Q57">
        <f t="shared" si="12"/>
        <v>328800</v>
      </c>
      <c r="R57" t="str">
        <f t="shared" si="13"/>
        <v>No</v>
      </c>
    </row>
    <row r="58" spans="1:18" x14ac:dyDescent="0.3">
      <c r="A58" t="s">
        <v>100</v>
      </c>
      <c r="B58" t="s">
        <v>57</v>
      </c>
      <c r="C58" t="s">
        <v>23</v>
      </c>
      <c r="D58" t="s">
        <v>13</v>
      </c>
      <c r="E58">
        <v>250</v>
      </c>
      <c r="F58">
        <v>151</v>
      </c>
      <c r="G58">
        <v>83</v>
      </c>
      <c r="H58">
        <v>155</v>
      </c>
      <c r="I58">
        <v>20</v>
      </c>
      <c r="J58" s="1">
        <v>46082</v>
      </c>
      <c r="K58">
        <f t="shared" si="8"/>
        <v>3.0120481927710845</v>
      </c>
      <c r="L58" t="str">
        <f t="shared" si="7"/>
        <v>No</v>
      </c>
      <c r="M58" t="str">
        <f t="shared" si="9"/>
        <v>Low</v>
      </c>
      <c r="N58">
        <f t="shared" si="2"/>
        <v>5000</v>
      </c>
      <c r="O58">
        <f t="shared" si="10"/>
        <v>13196</v>
      </c>
      <c r="P58" t="str">
        <f t="shared" si="11"/>
        <v>High</v>
      </c>
      <c r="Q58">
        <f t="shared" si="12"/>
        <v>5000</v>
      </c>
      <c r="R58" t="str">
        <f t="shared" si="13"/>
        <v>No</v>
      </c>
    </row>
    <row r="59" spans="1:18" x14ac:dyDescent="0.3">
      <c r="A59" t="s">
        <v>101</v>
      </c>
      <c r="B59" t="s">
        <v>59</v>
      </c>
      <c r="C59" t="s">
        <v>27</v>
      </c>
      <c r="D59" t="s">
        <v>16</v>
      </c>
      <c r="E59">
        <v>177</v>
      </c>
      <c r="F59">
        <v>181</v>
      </c>
      <c r="G59">
        <v>170</v>
      </c>
      <c r="H59">
        <v>64</v>
      </c>
      <c r="I59">
        <v>350</v>
      </c>
      <c r="J59" s="1">
        <v>46076</v>
      </c>
      <c r="K59">
        <f t="shared" si="8"/>
        <v>1.0411764705882354</v>
      </c>
      <c r="L59" t="str">
        <f t="shared" si="7"/>
        <v>Yes</v>
      </c>
      <c r="M59" t="str">
        <f t="shared" si="9"/>
        <v>Critical</v>
      </c>
      <c r="N59">
        <f t="shared" si="2"/>
        <v>61950</v>
      </c>
      <c r="O59">
        <f t="shared" si="10"/>
        <v>11893</v>
      </c>
      <c r="P59" t="str">
        <f t="shared" si="11"/>
        <v>High</v>
      </c>
      <c r="Q59">
        <f t="shared" si="12"/>
        <v>61950</v>
      </c>
      <c r="R59" t="str">
        <f t="shared" si="13"/>
        <v>No</v>
      </c>
    </row>
    <row r="60" spans="1:18" x14ac:dyDescent="0.3">
      <c r="A60" t="s">
        <v>102</v>
      </c>
      <c r="B60" t="s">
        <v>61</v>
      </c>
      <c r="C60" t="s">
        <v>31</v>
      </c>
      <c r="D60" t="s">
        <v>13</v>
      </c>
      <c r="E60">
        <v>28</v>
      </c>
      <c r="F60">
        <v>65</v>
      </c>
      <c r="G60">
        <v>6</v>
      </c>
      <c r="H60">
        <v>8</v>
      </c>
      <c r="I60">
        <v>300</v>
      </c>
      <c r="J60" s="1">
        <v>46085</v>
      </c>
      <c r="K60">
        <f t="shared" si="8"/>
        <v>4.666666666666667</v>
      </c>
      <c r="L60" t="str">
        <f t="shared" si="7"/>
        <v>Yes</v>
      </c>
      <c r="M60" t="str">
        <f t="shared" si="9"/>
        <v>Critical</v>
      </c>
      <c r="N60">
        <f t="shared" si="2"/>
        <v>8400</v>
      </c>
      <c r="O60">
        <f t="shared" si="10"/>
        <v>62</v>
      </c>
      <c r="P60" t="str">
        <f t="shared" si="11"/>
        <v>High</v>
      </c>
      <c r="Q60">
        <f t="shared" si="12"/>
        <v>8400</v>
      </c>
      <c r="R60" t="str">
        <f t="shared" si="13"/>
        <v>No</v>
      </c>
    </row>
    <row r="61" spans="1:18" x14ac:dyDescent="0.3">
      <c r="A61" t="s">
        <v>103</v>
      </c>
      <c r="B61" t="s">
        <v>63</v>
      </c>
      <c r="C61" t="s">
        <v>35</v>
      </c>
      <c r="D61" t="s">
        <v>24</v>
      </c>
      <c r="E61">
        <v>22</v>
      </c>
      <c r="F61">
        <v>50</v>
      </c>
      <c r="G61">
        <v>5</v>
      </c>
      <c r="H61">
        <v>13</v>
      </c>
      <c r="I61">
        <v>250</v>
      </c>
      <c r="J61" s="1">
        <v>46069</v>
      </c>
      <c r="K61">
        <f t="shared" si="8"/>
        <v>4.4000000000000004</v>
      </c>
      <c r="L61" t="str">
        <f t="shared" si="7"/>
        <v>Yes</v>
      </c>
      <c r="M61" t="str">
        <f t="shared" si="9"/>
        <v>Critical</v>
      </c>
      <c r="N61">
        <f t="shared" si="2"/>
        <v>5500</v>
      </c>
      <c r="O61">
        <f t="shared" si="10"/>
        <v>78</v>
      </c>
      <c r="P61" t="str">
        <f t="shared" si="11"/>
        <v>High</v>
      </c>
      <c r="Q61">
        <f t="shared" si="12"/>
        <v>5500</v>
      </c>
      <c r="R61" t="str">
        <f t="shared" si="13"/>
        <v>No</v>
      </c>
    </row>
    <row r="62" spans="1:18" x14ac:dyDescent="0.3">
      <c r="A62" t="s">
        <v>104</v>
      </c>
      <c r="B62" t="s">
        <v>11</v>
      </c>
      <c r="C62" t="s">
        <v>12</v>
      </c>
      <c r="D62" t="s">
        <v>13</v>
      </c>
      <c r="E62">
        <v>310</v>
      </c>
      <c r="F62">
        <v>85</v>
      </c>
      <c r="G62">
        <v>2</v>
      </c>
      <c r="H62">
        <v>6</v>
      </c>
      <c r="I62">
        <v>800</v>
      </c>
      <c r="J62" s="1">
        <v>46063</v>
      </c>
      <c r="K62">
        <f t="shared" si="8"/>
        <v>155</v>
      </c>
      <c r="L62" t="str">
        <f t="shared" si="7"/>
        <v>No</v>
      </c>
      <c r="M62" t="str">
        <f t="shared" si="9"/>
        <v>Safe</v>
      </c>
      <c r="N62">
        <f t="shared" si="2"/>
        <v>248000</v>
      </c>
      <c r="O62">
        <f t="shared" si="10"/>
        <v>0</v>
      </c>
      <c r="P62" t="str">
        <f t="shared" si="11"/>
        <v>Low</v>
      </c>
      <c r="Q62">
        <f t="shared" si="12"/>
        <v>0</v>
      </c>
      <c r="R62" t="str">
        <f t="shared" si="13"/>
        <v>Yes</v>
      </c>
    </row>
    <row r="63" spans="1:18" x14ac:dyDescent="0.3">
      <c r="A63" t="s">
        <v>105</v>
      </c>
      <c r="B63" t="s">
        <v>15</v>
      </c>
      <c r="C63" t="s">
        <v>12</v>
      </c>
      <c r="D63" t="s">
        <v>28</v>
      </c>
      <c r="E63">
        <v>210</v>
      </c>
      <c r="F63">
        <v>80</v>
      </c>
      <c r="G63">
        <v>6</v>
      </c>
      <c r="H63">
        <v>3</v>
      </c>
      <c r="I63">
        <v>900</v>
      </c>
      <c r="J63" s="1">
        <v>46071</v>
      </c>
      <c r="K63">
        <f t="shared" si="8"/>
        <v>35</v>
      </c>
      <c r="L63" t="str">
        <f t="shared" si="7"/>
        <v>No</v>
      </c>
      <c r="M63" t="str">
        <f t="shared" si="9"/>
        <v>Safe</v>
      </c>
      <c r="N63">
        <f t="shared" si="2"/>
        <v>189000</v>
      </c>
      <c r="O63">
        <f t="shared" si="10"/>
        <v>0</v>
      </c>
      <c r="P63" t="str">
        <f t="shared" si="11"/>
        <v>Low</v>
      </c>
      <c r="Q63">
        <f t="shared" si="12"/>
        <v>0</v>
      </c>
      <c r="R63" t="str">
        <f t="shared" si="13"/>
        <v>No</v>
      </c>
    </row>
    <row r="64" spans="1:18" x14ac:dyDescent="0.3">
      <c r="A64" t="s">
        <v>106</v>
      </c>
      <c r="B64" t="s">
        <v>18</v>
      </c>
      <c r="C64" t="s">
        <v>19</v>
      </c>
      <c r="D64" t="s">
        <v>20</v>
      </c>
      <c r="E64">
        <v>241</v>
      </c>
      <c r="F64">
        <v>56</v>
      </c>
      <c r="G64">
        <v>46</v>
      </c>
      <c r="H64">
        <v>300</v>
      </c>
      <c r="I64">
        <v>120</v>
      </c>
      <c r="J64" s="1">
        <v>46082</v>
      </c>
      <c r="K64">
        <f t="shared" si="8"/>
        <v>5.2391304347826084</v>
      </c>
      <c r="L64" t="str">
        <f t="shared" si="7"/>
        <v>No</v>
      </c>
      <c r="M64" t="str">
        <f t="shared" si="9"/>
        <v>Low</v>
      </c>
      <c r="N64">
        <f t="shared" si="2"/>
        <v>28920</v>
      </c>
      <c r="O64">
        <f t="shared" si="10"/>
        <v>13881</v>
      </c>
      <c r="P64" t="str">
        <f t="shared" si="11"/>
        <v>High</v>
      </c>
      <c r="Q64">
        <f t="shared" si="12"/>
        <v>28920</v>
      </c>
      <c r="R64" t="str">
        <f t="shared" si="13"/>
        <v>No</v>
      </c>
    </row>
    <row r="65" spans="1:18" x14ac:dyDescent="0.3">
      <c r="A65" t="s">
        <v>107</v>
      </c>
      <c r="B65" t="s">
        <v>22</v>
      </c>
      <c r="C65" t="s">
        <v>23</v>
      </c>
      <c r="D65" t="s">
        <v>24</v>
      </c>
      <c r="E65">
        <v>37</v>
      </c>
      <c r="F65">
        <v>75</v>
      </c>
      <c r="G65">
        <v>198</v>
      </c>
      <c r="H65">
        <v>140</v>
      </c>
      <c r="I65">
        <v>250</v>
      </c>
      <c r="J65" s="1">
        <v>46078</v>
      </c>
      <c r="K65">
        <f t="shared" si="8"/>
        <v>0.18686868686868688</v>
      </c>
      <c r="L65" t="str">
        <f t="shared" si="7"/>
        <v>Yes</v>
      </c>
      <c r="M65" t="str">
        <f t="shared" si="9"/>
        <v>Critical</v>
      </c>
      <c r="N65">
        <f t="shared" si="2"/>
        <v>9250</v>
      </c>
      <c r="O65">
        <f t="shared" si="10"/>
        <v>29069</v>
      </c>
      <c r="P65" t="str">
        <f t="shared" si="11"/>
        <v>High</v>
      </c>
      <c r="Q65">
        <f t="shared" si="12"/>
        <v>9250</v>
      </c>
      <c r="R65" t="str">
        <f t="shared" si="13"/>
        <v>No</v>
      </c>
    </row>
    <row r="66" spans="1:18" x14ac:dyDescent="0.3">
      <c r="A66" t="s">
        <v>108</v>
      </c>
      <c r="B66" t="s">
        <v>26</v>
      </c>
      <c r="C66" t="s">
        <v>27</v>
      </c>
      <c r="D66" t="s">
        <v>28</v>
      </c>
      <c r="E66">
        <v>254</v>
      </c>
      <c r="F66">
        <v>25</v>
      </c>
      <c r="G66">
        <v>179</v>
      </c>
      <c r="H66">
        <v>91</v>
      </c>
      <c r="I66">
        <v>300</v>
      </c>
      <c r="J66" s="1">
        <v>46068</v>
      </c>
      <c r="K66">
        <f t="shared" ref="K66:K101" si="14">IFERROR(E66/G66,0)</f>
        <v>1.4189944134078212</v>
      </c>
      <c r="L66" t="str">
        <f t="shared" si="7"/>
        <v>No</v>
      </c>
      <c r="M66" t="str">
        <f t="shared" ref="M66:M101" si="15">IF(E66&lt;=F66,"Critical",IF(K66&lt;=(H66+3),"Low","Safe"))</f>
        <v>Low</v>
      </c>
      <c r="N66">
        <f t="shared" ref="N66:N101" si="16">E66*I66</f>
        <v>76200</v>
      </c>
      <c r="O66">
        <f t="shared" ref="O66:O101" si="17">MAX((G66*(H66+7))-E66,0)</f>
        <v>17288</v>
      </c>
      <c r="P66" t="str">
        <f t="shared" ref="P66:P101" si="18">IF(K66&lt;H66,"High",IF(K66&lt;=(H66+3),"Medium","Low"))</f>
        <v>High</v>
      </c>
      <c r="Q66">
        <f t="shared" ref="Q66:Q101" si="19">IF(OR(M66="Critical",M66="Low"),N66,0)</f>
        <v>76200</v>
      </c>
      <c r="R66" t="str">
        <f t="shared" ref="R66:R101" si="20">IF(K66&gt;45,"Yes","No")</f>
        <v>No</v>
      </c>
    </row>
    <row r="67" spans="1:18" x14ac:dyDescent="0.3">
      <c r="A67" t="s">
        <v>109</v>
      </c>
      <c r="B67" t="s">
        <v>30</v>
      </c>
      <c r="C67" t="s">
        <v>31</v>
      </c>
      <c r="D67" t="s">
        <v>32</v>
      </c>
      <c r="E67">
        <v>25</v>
      </c>
      <c r="F67">
        <v>153</v>
      </c>
      <c r="G67">
        <v>236</v>
      </c>
      <c r="H67">
        <v>247</v>
      </c>
      <c r="I67">
        <v>50</v>
      </c>
      <c r="J67" s="1">
        <v>46086</v>
      </c>
      <c r="K67">
        <f t="shared" si="14"/>
        <v>0.1059322033898305</v>
      </c>
      <c r="L67" t="str">
        <f t="shared" ref="L67:L101" si="21">IF(E67&lt;=F67,"Yes","No")</f>
        <v>Yes</v>
      </c>
      <c r="M67" t="str">
        <f t="shared" si="15"/>
        <v>Critical</v>
      </c>
      <c r="N67">
        <f t="shared" si="16"/>
        <v>1250</v>
      </c>
      <c r="O67">
        <f t="shared" si="17"/>
        <v>59919</v>
      </c>
      <c r="P67" t="str">
        <f t="shared" si="18"/>
        <v>High</v>
      </c>
      <c r="Q67">
        <f t="shared" si="19"/>
        <v>1250</v>
      </c>
      <c r="R67" t="str">
        <f t="shared" si="20"/>
        <v>No</v>
      </c>
    </row>
    <row r="68" spans="1:18" x14ac:dyDescent="0.3">
      <c r="A68" t="s">
        <v>110</v>
      </c>
      <c r="B68" t="s">
        <v>34</v>
      </c>
      <c r="C68" t="s">
        <v>35</v>
      </c>
      <c r="D68" t="s">
        <v>36</v>
      </c>
      <c r="E68">
        <v>154</v>
      </c>
      <c r="F68">
        <v>142</v>
      </c>
      <c r="G68">
        <v>203</v>
      </c>
      <c r="H68">
        <v>33</v>
      </c>
      <c r="I68">
        <v>150</v>
      </c>
      <c r="J68" s="1">
        <v>46073</v>
      </c>
      <c r="K68">
        <f t="shared" si="14"/>
        <v>0.75862068965517238</v>
      </c>
      <c r="L68" t="str">
        <f t="shared" si="21"/>
        <v>No</v>
      </c>
      <c r="M68" t="str">
        <f t="shared" si="15"/>
        <v>Low</v>
      </c>
      <c r="N68">
        <f t="shared" si="16"/>
        <v>23100</v>
      </c>
      <c r="O68">
        <f t="shared" si="17"/>
        <v>7966</v>
      </c>
      <c r="P68" t="str">
        <f t="shared" si="18"/>
        <v>High</v>
      </c>
      <c r="Q68">
        <f t="shared" si="19"/>
        <v>23100</v>
      </c>
      <c r="R68" t="str">
        <f t="shared" si="20"/>
        <v>No</v>
      </c>
    </row>
    <row r="69" spans="1:18" x14ac:dyDescent="0.3">
      <c r="A69" t="s">
        <v>111</v>
      </c>
      <c r="B69" t="s">
        <v>38</v>
      </c>
      <c r="C69" t="s">
        <v>19</v>
      </c>
      <c r="D69" t="s">
        <v>13</v>
      </c>
      <c r="E69">
        <v>52</v>
      </c>
      <c r="F69">
        <v>198</v>
      </c>
      <c r="G69">
        <v>266</v>
      </c>
      <c r="H69">
        <v>273</v>
      </c>
      <c r="I69">
        <v>200</v>
      </c>
      <c r="J69" s="1">
        <v>46083</v>
      </c>
      <c r="K69">
        <f t="shared" si="14"/>
        <v>0.19548872180451127</v>
      </c>
      <c r="L69" t="str">
        <f t="shared" si="21"/>
        <v>Yes</v>
      </c>
      <c r="M69" t="str">
        <f t="shared" si="15"/>
        <v>Critical</v>
      </c>
      <c r="N69">
        <f t="shared" si="16"/>
        <v>10400</v>
      </c>
      <c r="O69">
        <f t="shared" si="17"/>
        <v>74428</v>
      </c>
      <c r="P69" t="str">
        <f t="shared" si="18"/>
        <v>High</v>
      </c>
      <c r="Q69">
        <f t="shared" si="19"/>
        <v>10400</v>
      </c>
      <c r="R69" t="str">
        <f t="shared" si="20"/>
        <v>No</v>
      </c>
    </row>
    <row r="70" spans="1:18" x14ac:dyDescent="0.3">
      <c r="A70" t="s">
        <v>112</v>
      </c>
      <c r="B70" t="s">
        <v>41</v>
      </c>
      <c r="C70" t="s">
        <v>23</v>
      </c>
      <c r="D70" t="s">
        <v>32</v>
      </c>
      <c r="E70">
        <v>63</v>
      </c>
      <c r="F70">
        <v>170</v>
      </c>
      <c r="G70">
        <v>265</v>
      </c>
      <c r="H70">
        <v>215</v>
      </c>
      <c r="I70">
        <v>180</v>
      </c>
      <c r="J70" s="1">
        <v>46075</v>
      </c>
      <c r="K70">
        <f t="shared" si="14"/>
        <v>0.23773584905660378</v>
      </c>
      <c r="L70" t="str">
        <f t="shared" si="21"/>
        <v>Yes</v>
      </c>
      <c r="M70" t="str">
        <f t="shared" si="15"/>
        <v>Critical</v>
      </c>
      <c r="N70">
        <f t="shared" si="16"/>
        <v>11340</v>
      </c>
      <c r="O70">
        <f t="shared" si="17"/>
        <v>58767</v>
      </c>
      <c r="P70" t="str">
        <f t="shared" si="18"/>
        <v>High</v>
      </c>
      <c r="Q70">
        <f t="shared" si="19"/>
        <v>11340</v>
      </c>
      <c r="R70" t="str">
        <f t="shared" si="20"/>
        <v>No</v>
      </c>
    </row>
    <row r="71" spans="1:18" x14ac:dyDescent="0.3">
      <c r="A71" t="s">
        <v>113</v>
      </c>
      <c r="B71" t="s">
        <v>43</v>
      </c>
      <c r="C71" t="s">
        <v>27</v>
      </c>
      <c r="D71" t="s">
        <v>16</v>
      </c>
      <c r="E71">
        <v>292</v>
      </c>
      <c r="F71">
        <v>167</v>
      </c>
      <c r="G71">
        <v>53</v>
      </c>
      <c r="H71">
        <v>118</v>
      </c>
      <c r="I71">
        <v>220</v>
      </c>
      <c r="J71" s="1">
        <v>46081</v>
      </c>
      <c r="K71">
        <f t="shared" si="14"/>
        <v>5.5094339622641506</v>
      </c>
      <c r="L71" t="str">
        <f t="shared" si="21"/>
        <v>No</v>
      </c>
      <c r="M71" t="str">
        <f t="shared" si="15"/>
        <v>Low</v>
      </c>
      <c r="N71">
        <f t="shared" si="16"/>
        <v>64240</v>
      </c>
      <c r="O71">
        <f t="shared" si="17"/>
        <v>6333</v>
      </c>
      <c r="P71" t="str">
        <f t="shared" si="18"/>
        <v>High</v>
      </c>
      <c r="Q71">
        <f t="shared" si="19"/>
        <v>64240</v>
      </c>
      <c r="R71" t="str">
        <f t="shared" si="20"/>
        <v>No</v>
      </c>
    </row>
    <row r="72" spans="1:18" x14ac:dyDescent="0.3">
      <c r="A72" t="s">
        <v>114</v>
      </c>
      <c r="B72" t="s">
        <v>45</v>
      </c>
      <c r="C72" t="s">
        <v>12</v>
      </c>
      <c r="D72" t="s">
        <v>20</v>
      </c>
      <c r="E72">
        <v>33</v>
      </c>
      <c r="F72">
        <v>38</v>
      </c>
      <c r="G72">
        <v>178</v>
      </c>
      <c r="H72">
        <v>95</v>
      </c>
      <c r="I72">
        <v>1500</v>
      </c>
      <c r="J72" s="1">
        <v>46065</v>
      </c>
      <c r="K72">
        <f t="shared" si="14"/>
        <v>0.1853932584269663</v>
      </c>
      <c r="L72" t="str">
        <f t="shared" si="21"/>
        <v>Yes</v>
      </c>
      <c r="M72" t="str">
        <f t="shared" si="15"/>
        <v>Critical</v>
      </c>
      <c r="N72">
        <f t="shared" si="16"/>
        <v>49500</v>
      </c>
      <c r="O72">
        <f t="shared" si="17"/>
        <v>18123</v>
      </c>
      <c r="P72" t="str">
        <f t="shared" si="18"/>
        <v>High</v>
      </c>
      <c r="Q72">
        <f t="shared" si="19"/>
        <v>49500</v>
      </c>
      <c r="R72" t="str">
        <f t="shared" si="20"/>
        <v>No</v>
      </c>
    </row>
    <row r="73" spans="1:18" x14ac:dyDescent="0.3">
      <c r="A73" t="s">
        <v>115</v>
      </c>
      <c r="B73" t="s">
        <v>47</v>
      </c>
      <c r="C73" t="s">
        <v>23</v>
      </c>
      <c r="D73" t="s">
        <v>24</v>
      </c>
      <c r="E73">
        <v>207</v>
      </c>
      <c r="F73">
        <v>92</v>
      </c>
      <c r="G73">
        <v>167</v>
      </c>
      <c r="H73">
        <v>14</v>
      </c>
      <c r="I73">
        <v>30</v>
      </c>
      <c r="J73" s="1">
        <v>46084</v>
      </c>
      <c r="K73">
        <f t="shared" si="14"/>
        <v>1.2395209580838322</v>
      </c>
      <c r="L73" t="str">
        <f t="shared" si="21"/>
        <v>No</v>
      </c>
      <c r="M73" t="str">
        <f t="shared" si="15"/>
        <v>Low</v>
      </c>
      <c r="N73">
        <f t="shared" si="16"/>
        <v>6210</v>
      </c>
      <c r="O73">
        <f t="shared" si="17"/>
        <v>3300</v>
      </c>
      <c r="P73" t="str">
        <f t="shared" si="18"/>
        <v>High</v>
      </c>
      <c r="Q73">
        <f t="shared" si="19"/>
        <v>6210</v>
      </c>
      <c r="R73" t="str">
        <f t="shared" si="20"/>
        <v>No</v>
      </c>
    </row>
    <row r="74" spans="1:18" x14ac:dyDescent="0.3">
      <c r="A74" t="s">
        <v>116</v>
      </c>
      <c r="B74" t="s">
        <v>49</v>
      </c>
      <c r="C74" t="s">
        <v>27</v>
      </c>
      <c r="D74" t="s">
        <v>36</v>
      </c>
      <c r="E74">
        <v>296</v>
      </c>
      <c r="F74">
        <v>288</v>
      </c>
      <c r="G74">
        <v>198</v>
      </c>
      <c r="H74">
        <v>86</v>
      </c>
      <c r="I74">
        <v>90</v>
      </c>
      <c r="J74" s="1">
        <v>46070</v>
      </c>
      <c r="K74">
        <f t="shared" si="14"/>
        <v>1.494949494949495</v>
      </c>
      <c r="L74" t="str">
        <f t="shared" si="21"/>
        <v>No</v>
      </c>
      <c r="M74" t="str">
        <f t="shared" si="15"/>
        <v>Low</v>
      </c>
      <c r="N74">
        <f t="shared" si="16"/>
        <v>26640</v>
      </c>
      <c r="O74">
        <f t="shared" si="17"/>
        <v>18118</v>
      </c>
      <c r="P74" t="str">
        <f t="shared" si="18"/>
        <v>High</v>
      </c>
      <c r="Q74">
        <f t="shared" si="19"/>
        <v>26640</v>
      </c>
      <c r="R74" t="str">
        <f t="shared" si="20"/>
        <v>No</v>
      </c>
    </row>
    <row r="75" spans="1:18" x14ac:dyDescent="0.3">
      <c r="A75" t="s">
        <v>117</v>
      </c>
      <c r="B75" t="s">
        <v>51</v>
      </c>
      <c r="C75" t="s">
        <v>31</v>
      </c>
      <c r="D75" t="s">
        <v>32</v>
      </c>
      <c r="E75">
        <v>89</v>
      </c>
      <c r="F75">
        <v>247</v>
      </c>
      <c r="G75">
        <v>151</v>
      </c>
      <c r="H75">
        <v>96</v>
      </c>
      <c r="I75">
        <v>40</v>
      </c>
      <c r="J75" s="1">
        <v>46087</v>
      </c>
      <c r="K75">
        <f t="shared" si="14"/>
        <v>0.58940397350993379</v>
      </c>
      <c r="L75" t="str">
        <f t="shared" si="21"/>
        <v>Yes</v>
      </c>
      <c r="M75" t="str">
        <f t="shared" si="15"/>
        <v>Critical</v>
      </c>
      <c r="N75">
        <f t="shared" si="16"/>
        <v>3560</v>
      </c>
      <c r="O75">
        <f t="shared" si="17"/>
        <v>15464</v>
      </c>
      <c r="P75" t="str">
        <f t="shared" si="18"/>
        <v>High</v>
      </c>
      <c r="Q75">
        <f t="shared" si="19"/>
        <v>3560</v>
      </c>
      <c r="R75" t="str">
        <f t="shared" si="20"/>
        <v>No</v>
      </c>
    </row>
    <row r="76" spans="1:18" x14ac:dyDescent="0.3">
      <c r="A76" t="s">
        <v>118</v>
      </c>
      <c r="B76" t="s">
        <v>53</v>
      </c>
      <c r="C76" t="s">
        <v>35</v>
      </c>
      <c r="D76" t="s">
        <v>36</v>
      </c>
      <c r="E76">
        <v>267</v>
      </c>
      <c r="F76">
        <v>242</v>
      </c>
      <c r="G76">
        <v>95</v>
      </c>
      <c r="H76">
        <v>185</v>
      </c>
      <c r="I76">
        <v>500</v>
      </c>
      <c r="J76" s="1">
        <v>46072</v>
      </c>
      <c r="K76">
        <f t="shared" si="14"/>
        <v>2.8105263157894735</v>
      </c>
      <c r="L76" t="str">
        <f t="shared" si="21"/>
        <v>No</v>
      </c>
      <c r="M76" t="str">
        <f t="shared" si="15"/>
        <v>Low</v>
      </c>
      <c r="N76">
        <f t="shared" si="16"/>
        <v>133500</v>
      </c>
      <c r="O76">
        <f t="shared" si="17"/>
        <v>17973</v>
      </c>
      <c r="P76" t="str">
        <f t="shared" si="18"/>
        <v>High</v>
      </c>
      <c r="Q76">
        <f t="shared" si="19"/>
        <v>133500</v>
      </c>
      <c r="R76" t="str">
        <f t="shared" si="20"/>
        <v>No</v>
      </c>
    </row>
    <row r="77" spans="1:18" x14ac:dyDescent="0.3">
      <c r="A77" t="s">
        <v>119</v>
      </c>
      <c r="B77" t="s">
        <v>55</v>
      </c>
      <c r="C77" t="s">
        <v>19</v>
      </c>
      <c r="D77" t="s">
        <v>39</v>
      </c>
      <c r="E77">
        <v>237</v>
      </c>
      <c r="F77">
        <v>107</v>
      </c>
      <c r="G77">
        <v>91</v>
      </c>
      <c r="H77">
        <v>27</v>
      </c>
      <c r="I77">
        <v>1200</v>
      </c>
      <c r="J77" s="1">
        <v>46067</v>
      </c>
      <c r="K77">
        <f t="shared" si="14"/>
        <v>2.6043956043956045</v>
      </c>
      <c r="L77" t="str">
        <f t="shared" si="21"/>
        <v>No</v>
      </c>
      <c r="M77" t="str">
        <f t="shared" si="15"/>
        <v>Low</v>
      </c>
      <c r="N77">
        <f t="shared" si="16"/>
        <v>284400</v>
      </c>
      <c r="O77">
        <f t="shared" si="17"/>
        <v>2857</v>
      </c>
      <c r="P77" t="str">
        <f t="shared" si="18"/>
        <v>High</v>
      </c>
      <c r="Q77">
        <f t="shared" si="19"/>
        <v>284400</v>
      </c>
      <c r="R77" t="str">
        <f t="shared" si="20"/>
        <v>No</v>
      </c>
    </row>
    <row r="78" spans="1:18" x14ac:dyDescent="0.3">
      <c r="A78" t="s">
        <v>120</v>
      </c>
      <c r="B78" t="s">
        <v>57</v>
      </c>
      <c r="C78" t="s">
        <v>23</v>
      </c>
      <c r="D78" t="s">
        <v>13</v>
      </c>
      <c r="E78">
        <v>109</v>
      </c>
      <c r="F78">
        <v>106</v>
      </c>
      <c r="G78">
        <v>224</v>
      </c>
      <c r="H78">
        <v>78</v>
      </c>
      <c r="I78">
        <v>20</v>
      </c>
      <c r="J78" s="1">
        <v>46082</v>
      </c>
      <c r="K78">
        <f t="shared" si="14"/>
        <v>0.48660714285714285</v>
      </c>
      <c r="L78" t="str">
        <f t="shared" si="21"/>
        <v>No</v>
      </c>
      <c r="M78" t="str">
        <f t="shared" si="15"/>
        <v>Low</v>
      </c>
      <c r="N78">
        <f t="shared" si="16"/>
        <v>2180</v>
      </c>
      <c r="O78">
        <f t="shared" si="17"/>
        <v>18931</v>
      </c>
      <c r="P78" t="str">
        <f t="shared" si="18"/>
        <v>High</v>
      </c>
      <c r="Q78">
        <f t="shared" si="19"/>
        <v>2180</v>
      </c>
      <c r="R78" t="str">
        <f t="shared" si="20"/>
        <v>No</v>
      </c>
    </row>
    <row r="79" spans="1:18" x14ac:dyDescent="0.3">
      <c r="A79" t="s">
        <v>121</v>
      </c>
      <c r="B79" t="s">
        <v>59</v>
      </c>
      <c r="C79" t="s">
        <v>27</v>
      </c>
      <c r="D79" t="s">
        <v>16</v>
      </c>
      <c r="E79">
        <v>131</v>
      </c>
      <c r="F79">
        <v>251</v>
      </c>
      <c r="G79">
        <v>76</v>
      </c>
      <c r="H79">
        <v>193</v>
      </c>
      <c r="I79">
        <v>350</v>
      </c>
      <c r="J79" s="1">
        <v>46076</v>
      </c>
      <c r="K79">
        <f t="shared" si="14"/>
        <v>1.7236842105263157</v>
      </c>
      <c r="L79" t="str">
        <f t="shared" si="21"/>
        <v>Yes</v>
      </c>
      <c r="M79" t="str">
        <f t="shared" si="15"/>
        <v>Critical</v>
      </c>
      <c r="N79">
        <f t="shared" si="16"/>
        <v>45850</v>
      </c>
      <c r="O79">
        <f t="shared" si="17"/>
        <v>15069</v>
      </c>
      <c r="P79" t="str">
        <f t="shared" si="18"/>
        <v>High</v>
      </c>
      <c r="Q79">
        <f t="shared" si="19"/>
        <v>45850</v>
      </c>
      <c r="R79" t="str">
        <f t="shared" si="20"/>
        <v>No</v>
      </c>
    </row>
    <row r="80" spans="1:18" x14ac:dyDescent="0.3">
      <c r="A80" t="s">
        <v>122</v>
      </c>
      <c r="B80" t="s">
        <v>61</v>
      </c>
      <c r="C80" t="s">
        <v>31</v>
      </c>
      <c r="D80" t="s">
        <v>20</v>
      </c>
      <c r="E80">
        <v>111</v>
      </c>
      <c r="F80">
        <v>39</v>
      </c>
      <c r="G80">
        <v>68</v>
      </c>
      <c r="H80">
        <v>145</v>
      </c>
      <c r="I80">
        <v>300</v>
      </c>
      <c r="J80" s="1">
        <v>46085</v>
      </c>
      <c r="K80">
        <f t="shared" si="14"/>
        <v>1.6323529411764706</v>
      </c>
      <c r="L80" t="str">
        <f t="shared" si="21"/>
        <v>No</v>
      </c>
      <c r="M80" t="str">
        <f t="shared" si="15"/>
        <v>Low</v>
      </c>
      <c r="N80">
        <f t="shared" si="16"/>
        <v>33300</v>
      </c>
      <c r="O80">
        <f t="shared" si="17"/>
        <v>10225</v>
      </c>
      <c r="P80" t="str">
        <f t="shared" si="18"/>
        <v>High</v>
      </c>
      <c r="Q80">
        <f t="shared" si="19"/>
        <v>33300</v>
      </c>
      <c r="R80" t="str">
        <f t="shared" si="20"/>
        <v>No</v>
      </c>
    </row>
    <row r="81" spans="1:18" x14ac:dyDescent="0.3">
      <c r="A81" t="s">
        <v>123</v>
      </c>
      <c r="B81" t="s">
        <v>63</v>
      </c>
      <c r="C81" t="s">
        <v>35</v>
      </c>
      <c r="D81" t="s">
        <v>24</v>
      </c>
      <c r="E81">
        <v>208</v>
      </c>
      <c r="F81">
        <v>292</v>
      </c>
      <c r="G81">
        <v>63</v>
      </c>
      <c r="H81">
        <v>43</v>
      </c>
      <c r="I81">
        <v>250</v>
      </c>
      <c r="J81" s="1">
        <v>46069</v>
      </c>
      <c r="K81">
        <f t="shared" si="14"/>
        <v>3.3015873015873014</v>
      </c>
      <c r="L81" t="str">
        <f t="shared" si="21"/>
        <v>Yes</v>
      </c>
      <c r="M81" t="str">
        <f t="shared" si="15"/>
        <v>Critical</v>
      </c>
      <c r="N81">
        <f t="shared" si="16"/>
        <v>52000</v>
      </c>
      <c r="O81">
        <f t="shared" si="17"/>
        <v>2942</v>
      </c>
      <c r="P81" t="str">
        <f t="shared" si="18"/>
        <v>High</v>
      </c>
      <c r="Q81">
        <f t="shared" si="19"/>
        <v>52000</v>
      </c>
      <c r="R81" t="str">
        <f t="shared" si="20"/>
        <v>No</v>
      </c>
    </row>
    <row r="82" spans="1:18" x14ac:dyDescent="0.3">
      <c r="A82" t="s">
        <v>124</v>
      </c>
      <c r="B82" t="s">
        <v>11</v>
      </c>
      <c r="C82" t="s">
        <v>12</v>
      </c>
      <c r="D82" t="s">
        <v>13</v>
      </c>
      <c r="E82">
        <v>202</v>
      </c>
      <c r="F82">
        <v>25</v>
      </c>
      <c r="G82">
        <v>62</v>
      </c>
      <c r="H82">
        <v>36</v>
      </c>
      <c r="I82">
        <v>800</v>
      </c>
      <c r="J82" s="1">
        <v>46063</v>
      </c>
      <c r="K82">
        <f t="shared" si="14"/>
        <v>3.2580645161290325</v>
      </c>
      <c r="L82" t="str">
        <f t="shared" si="21"/>
        <v>No</v>
      </c>
      <c r="M82" t="str">
        <f t="shared" si="15"/>
        <v>Low</v>
      </c>
      <c r="N82">
        <f t="shared" si="16"/>
        <v>161600</v>
      </c>
      <c r="O82">
        <f t="shared" si="17"/>
        <v>2464</v>
      </c>
      <c r="P82" t="str">
        <f t="shared" si="18"/>
        <v>High</v>
      </c>
      <c r="Q82">
        <f t="shared" si="19"/>
        <v>161600</v>
      </c>
      <c r="R82" t="str">
        <f t="shared" si="20"/>
        <v>No</v>
      </c>
    </row>
    <row r="83" spans="1:18" x14ac:dyDescent="0.3">
      <c r="A83" t="s">
        <v>125</v>
      </c>
      <c r="B83" t="s">
        <v>15</v>
      </c>
      <c r="C83" t="s">
        <v>12</v>
      </c>
      <c r="D83" t="s">
        <v>16</v>
      </c>
      <c r="E83">
        <v>15</v>
      </c>
      <c r="F83">
        <v>144</v>
      </c>
      <c r="G83">
        <v>104</v>
      </c>
      <c r="H83">
        <v>73</v>
      </c>
      <c r="I83">
        <v>900</v>
      </c>
      <c r="J83" s="1">
        <v>46071</v>
      </c>
      <c r="K83">
        <f t="shared" si="14"/>
        <v>0.14423076923076922</v>
      </c>
      <c r="L83" t="str">
        <f t="shared" si="21"/>
        <v>Yes</v>
      </c>
      <c r="M83" t="str">
        <f t="shared" si="15"/>
        <v>Critical</v>
      </c>
      <c r="N83">
        <f t="shared" si="16"/>
        <v>13500</v>
      </c>
      <c r="O83">
        <f t="shared" si="17"/>
        <v>8305</v>
      </c>
      <c r="P83" t="str">
        <f t="shared" si="18"/>
        <v>High</v>
      </c>
      <c r="Q83">
        <f t="shared" si="19"/>
        <v>13500</v>
      </c>
      <c r="R83" t="str">
        <f t="shared" si="20"/>
        <v>No</v>
      </c>
    </row>
    <row r="84" spans="1:18" x14ac:dyDescent="0.3">
      <c r="A84" t="s">
        <v>126</v>
      </c>
      <c r="B84" t="s">
        <v>18</v>
      </c>
      <c r="C84" t="s">
        <v>19</v>
      </c>
      <c r="D84" t="s">
        <v>20</v>
      </c>
      <c r="E84">
        <v>44</v>
      </c>
      <c r="F84">
        <v>55</v>
      </c>
      <c r="G84">
        <v>195</v>
      </c>
      <c r="H84">
        <v>27</v>
      </c>
      <c r="I84">
        <v>120</v>
      </c>
      <c r="J84" s="1">
        <v>46082</v>
      </c>
      <c r="K84">
        <f t="shared" si="14"/>
        <v>0.22564102564102564</v>
      </c>
      <c r="L84" t="str">
        <f t="shared" si="21"/>
        <v>Yes</v>
      </c>
      <c r="M84" t="str">
        <f t="shared" si="15"/>
        <v>Critical</v>
      </c>
      <c r="N84">
        <f t="shared" si="16"/>
        <v>5280</v>
      </c>
      <c r="O84">
        <f t="shared" si="17"/>
        <v>6586</v>
      </c>
      <c r="P84" t="str">
        <f t="shared" si="18"/>
        <v>High</v>
      </c>
      <c r="Q84">
        <f t="shared" si="19"/>
        <v>5280</v>
      </c>
      <c r="R84" t="str">
        <f t="shared" si="20"/>
        <v>No</v>
      </c>
    </row>
    <row r="85" spans="1:18" x14ac:dyDescent="0.3">
      <c r="A85" t="s">
        <v>127</v>
      </c>
      <c r="B85" t="s">
        <v>22</v>
      </c>
      <c r="C85" t="s">
        <v>23</v>
      </c>
      <c r="D85" t="s">
        <v>24</v>
      </c>
      <c r="E85">
        <v>236</v>
      </c>
      <c r="F85">
        <v>13</v>
      </c>
      <c r="G85">
        <v>162</v>
      </c>
      <c r="H85">
        <v>137</v>
      </c>
      <c r="I85">
        <v>250</v>
      </c>
      <c r="J85" s="1">
        <v>46078</v>
      </c>
      <c r="K85">
        <f t="shared" si="14"/>
        <v>1.4567901234567902</v>
      </c>
      <c r="L85" t="str">
        <f t="shared" si="21"/>
        <v>No</v>
      </c>
      <c r="M85" t="str">
        <f t="shared" si="15"/>
        <v>Low</v>
      </c>
      <c r="N85">
        <f t="shared" si="16"/>
        <v>59000</v>
      </c>
      <c r="O85">
        <f t="shared" si="17"/>
        <v>23092</v>
      </c>
      <c r="P85" t="str">
        <f t="shared" si="18"/>
        <v>High</v>
      </c>
      <c r="Q85">
        <f t="shared" si="19"/>
        <v>59000</v>
      </c>
      <c r="R85" t="str">
        <f t="shared" si="20"/>
        <v>No</v>
      </c>
    </row>
    <row r="86" spans="1:18" x14ac:dyDescent="0.3">
      <c r="A86" t="s">
        <v>128</v>
      </c>
      <c r="B86" t="s">
        <v>26</v>
      </c>
      <c r="C86" t="s">
        <v>27</v>
      </c>
      <c r="D86" t="s">
        <v>28</v>
      </c>
      <c r="E86">
        <v>116</v>
      </c>
      <c r="F86">
        <v>86</v>
      </c>
      <c r="G86">
        <v>135</v>
      </c>
      <c r="H86">
        <v>214</v>
      </c>
      <c r="I86">
        <v>300</v>
      </c>
      <c r="J86" s="1">
        <v>46068</v>
      </c>
      <c r="K86">
        <f t="shared" si="14"/>
        <v>0.85925925925925928</v>
      </c>
      <c r="L86" t="str">
        <f t="shared" si="21"/>
        <v>No</v>
      </c>
      <c r="M86" t="str">
        <f t="shared" si="15"/>
        <v>Low</v>
      </c>
      <c r="N86">
        <f t="shared" si="16"/>
        <v>34800</v>
      </c>
      <c r="O86">
        <f t="shared" si="17"/>
        <v>29719</v>
      </c>
      <c r="P86" t="str">
        <f t="shared" si="18"/>
        <v>High</v>
      </c>
      <c r="Q86">
        <f t="shared" si="19"/>
        <v>34800</v>
      </c>
      <c r="R86" t="str">
        <f t="shared" si="20"/>
        <v>No</v>
      </c>
    </row>
    <row r="87" spans="1:18" x14ac:dyDescent="0.3">
      <c r="A87" t="s">
        <v>129</v>
      </c>
      <c r="B87" t="s">
        <v>30</v>
      </c>
      <c r="C87" t="s">
        <v>31</v>
      </c>
      <c r="D87" t="s">
        <v>32</v>
      </c>
      <c r="E87">
        <v>237</v>
      </c>
      <c r="F87">
        <v>101</v>
      </c>
      <c r="G87">
        <v>224</v>
      </c>
      <c r="H87">
        <v>132</v>
      </c>
      <c r="I87">
        <v>50</v>
      </c>
      <c r="J87" s="1">
        <v>46086</v>
      </c>
      <c r="K87">
        <f t="shared" si="14"/>
        <v>1.0580357142857142</v>
      </c>
      <c r="L87" t="str">
        <f t="shared" si="21"/>
        <v>No</v>
      </c>
      <c r="M87" t="str">
        <f t="shared" si="15"/>
        <v>Low</v>
      </c>
      <c r="N87">
        <f t="shared" si="16"/>
        <v>11850</v>
      </c>
      <c r="O87">
        <f t="shared" si="17"/>
        <v>30899</v>
      </c>
      <c r="P87" t="str">
        <f t="shared" si="18"/>
        <v>High</v>
      </c>
      <c r="Q87">
        <f t="shared" si="19"/>
        <v>11850</v>
      </c>
      <c r="R87" t="str">
        <f t="shared" si="20"/>
        <v>No</v>
      </c>
    </row>
    <row r="88" spans="1:18" x14ac:dyDescent="0.3">
      <c r="A88" t="s">
        <v>130</v>
      </c>
      <c r="B88" t="s">
        <v>34</v>
      </c>
      <c r="C88" t="s">
        <v>35</v>
      </c>
      <c r="D88" t="s">
        <v>36</v>
      </c>
      <c r="E88">
        <v>269</v>
      </c>
      <c r="F88">
        <v>199</v>
      </c>
      <c r="G88">
        <v>149</v>
      </c>
      <c r="H88">
        <v>25</v>
      </c>
      <c r="I88">
        <v>150</v>
      </c>
      <c r="J88" s="1">
        <v>46073</v>
      </c>
      <c r="K88">
        <f t="shared" si="14"/>
        <v>1.8053691275167785</v>
      </c>
      <c r="L88" t="str">
        <f t="shared" si="21"/>
        <v>No</v>
      </c>
      <c r="M88" t="str">
        <f t="shared" si="15"/>
        <v>Low</v>
      </c>
      <c r="N88">
        <f t="shared" si="16"/>
        <v>40350</v>
      </c>
      <c r="O88">
        <f t="shared" si="17"/>
        <v>4499</v>
      </c>
      <c r="P88" t="str">
        <f t="shared" si="18"/>
        <v>High</v>
      </c>
      <c r="Q88">
        <f t="shared" si="19"/>
        <v>40350</v>
      </c>
      <c r="R88" t="str">
        <f t="shared" si="20"/>
        <v>No</v>
      </c>
    </row>
    <row r="89" spans="1:18" x14ac:dyDescent="0.3">
      <c r="A89" t="s">
        <v>131</v>
      </c>
      <c r="B89" t="s">
        <v>38</v>
      </c>
      <c r="C89" t="s">
        <v>19</v>
      </c>
      <c r="D89" t="s">
        <v>39</v>
      </c>
      <c r="E89">
        <v>20</v>
      </c>
      <c r="F89">
        <v>96</v>
      </c>
      <c r="G89">
        <v>108</v>
      </c>
      <c r="H89">
        <v>30</v>
      </c>
      <c r="I89">
        <v>200</v>
      </c>
      <c r="J89" s="1">
        <v>46083</v>
      </c>
      <c r="K89">
        <f t="shared" si="14"/>
        <v>0.18518518518518517</v>
      </c>
      <c r="L89" t="str">
        <f t="shared" si="21"/>
        <v>Yes</v>
      </c>
      <c r="M89" t="str">
        <f t="shared" si="15"/>
        <v>Critical</v>
      </c>
      <c r="N89">
        <f t="shared" si="16"/>
        <v>4000</v>
      </c>
      <c r="O89">
        <f t="shared" si="17"/>
        <v>3976</v>
      </c>
      <c r="P89" t="str">
        <f t="shared" si="18"/>
        <v>High</v>
      </c>
      <c r="Q89">
        <f t="shared" si="19"/>
        <v>4000</v>
      </c>
      <c r="R89" t="str">
        <f t="shared" si="20"/>
        <v>No</v>
      </c>
    </row>
    <row r="90" spans="1:18" x14ac:dyDescent="0.3">
      <c r="A90" t="s">
        <v>132</v>
      </c>
      <c r="B90" t="s">
        <v>41</v>
      </c>
      <c r="C90" t="s">
        <v>23</v>
      </c>
      <c r="D90" t="s">
        <v>13</v>
      </c>
      <c r="E90">
        <v>154</v>
      </c>
      <c r="F90">
        <v>55</v>
      </c>
      <c r="G90">
        <v>65</v>
      </c>
      <c r="H90">
        <v>275</v>
      </c>
      <c r="I90">
        <v>180</v>
      </c>
      <c r="J90" s="1">
        <v>46075</v>
      </c>
      <c r="K90">
        <f t="shared" si="14"/>
        <v>2.3692307692307693</v>
      </c>
      <c r="L90" t="str">
        <f t="shared" si="21"/>
        <v>No</v>
      </c>
      <c r="M90" t="str">
        <f t="shared" si="15"/>
        <v>Low</v>
      </c>
      <c r="N90">
        <f t="shared" si="16"/>
        <v>27720</v>
      </c>
      <c r="O90">
        <f t="shared" si="17"/>
        <v>18176</v>
      </c>
      <c r="P90" t="str">
        <f t="shared" si="18"/>
        <v>High</v>
      </c>
      <c r="Q90">
        <f t="shared" si="19"/>
        <v>27720</v>
      </c>
      <c r="R90" t="str">
        <f t="shared" si="20"/>
        <v>No</v>
      </c>
    </row>
    <row r="91" spans="1:18" x14ac:dyDescent="0.3">
      <c r="A91" t="s">
        <v>133</v>
      </c>
      <c r="B91" t="s">
        <v>43</v>
      </c>
      <c r="C91" t="s">
        <v>27</v>
      </c>
      <c r="D91" t="s">
        <v>28</v>
      </c>
      <c r="E91">
        <v>138</v>
      </c>
      <c r="F91">
        <v>143</v>
      </c>
      <c r="G91">
        <v>87</v>
      </c>
      <c r="H91">
        <v>129</v>
      </c>
      <c r="I91">
        <v>220</v>
      </c>
      <c r="J91" s="1">
        <v>46081</v>
      </c>
      <c r="K91">
        <f t="shared" si="14"/>
        <v>1.5862068965517242</v>
      </c>
      <c r="L91" t="str">
        <f t="shared" si="21"/>
        <v>Yes</v>
      </c>
      <c r="M91" t="str">
        <f t="shared" si="15"/>
        <v>Critical</v>
      </c>
      <c r="N91">
        <f t="shared" si="16"/>
        <v>30360</v>
      </c>
      <c r="O91">
        <f t="shared" si="17"/>
        <v>11694</v>
      </c>
      <c r="P91" t="str">
        <f t="shared" si="18"/>
        <v>High</v>
      </c>
      <c r="Q91">
        <f t="shared" si="19"/>
        <v>30360</v>
      </c>
      <c r="R91" t="str">
        <f t="shared" si="20"/>
        <v>No</v>
      </c>
    </row>
    <row r="92" spans="1:18" x14ac:dyDescent="0.3">
      <c r="A92" t="s">
        <v>134</v>
      </c>
      <c r="B92" t="s">
        <v>45</v>
      </c>
      <c r="C92" t="s">
        <v>12</v>
      </c>
      <c r="D92" t="s">
        <v>32</v>
      </c>
      <c r="E92">
        <v>196</v>
      </c>
      <c r="F92">
        <v>240</v>
      </c>
      <c r="G92">
        <v>137</v>
      </c>
      <c r="H92">
        <v>143</v>
      </c>
      <c r="I92">
        <v>1500</v>
      </c>
      <c r="J92" s="1">
        <v>46065</v>
      </c>
      <c r="K92">
        <f t="shared" si="14"/>
        <v>1.4306569343065694</v>
      </c>
      <c r="L92" t="str">
        <f t="shared" si="21"/>
        <v>Yes</v>
      </c>
      <c r="M92" t="str">
        <f t="shared" si="15"/>
        <v>Critical</v>
      </c>
      <c r="N92">
        <f t="shared" si="16"/>
        <v>294000</v>
      </c>
      <c r="O92">
        <f t="shared" si="17"/>
        <v>20354</v>
      </c>
      <c r="P92" t="str">
        <f t="shared" si="18"/>
        <v>High</v>
      </c>
      <c r="Q92">
        <f t="shared" si="19"/>
        <v>294000</v>
      </c>
      <c r="R92" t="str">
        <f t="shared" si="20"/>
        <v>No</v>
      </c>
    </row>
    <row r="93" spans="1:18" x14ac:dyDescent="0.3">
      <c r="A93" t="s">
        <v>135</v>
      </c>
      <c r="B93" t="s">
        <v>47</v>
      </c>
      <c r="C93" t="s">
        <v>23</v>
      </c>
      <c r="D93" t="s">
        <v>24</v>
      </c>
      <c r="E93">
        <v>162</v>
      </c>
      <c r="F93">
        <v>167</v>
      </c>
      <c r="G93">
        <v>81</v>
      </c>
      <c r="H93">
        <v>230</v>
      </c>
      <c r="I93">
        <v>30</v>
      </c>
      <c r="J93" s="1">
        <v>46084</v>
      </c>
      <c r="K93">
        <f t="shared" si="14"/>
        <v>2</v>
      </c>
      <c r="L93" t="str">
        <f t="shared" si="21"/>
        <v>Yes</v>
      </c>
      <c r="M93" t="str">
        <f t="shared" si="15"/>
        <v>Critical</v>
      </c>
      <c r="N93">
        <f t="shared" si="16"/>
        <v>4860</v>
      </c>
      <c r="O93">
        <f t="shared" si="17"/>
        <v>19035</v>
      </c>
      <c r="P93" t="str">
        <f t="shared" si="18"/>
        <v>High</v>
      </c>
      <c r="Q93">
        <f t="shared" si="19"/>
        <v>4860</v>
      </c>
      <c r="R93" t="str">
        <f t="shared" si="20"/>
        <v>No</v>
      </c>
    </row>
    <row r="94" spans="1:18" x14ac:dyDescent="0.3">
      <c r="A94" t="s">
        <v>136</v>
      </c>
      <c r="B94" t="s">
        <v>49</v>
      </c>
      <c r="C94" t="s">
        <v>27</v>
      </c>
      <c r="D94" t="s">
        <v>28</v>
      </c>
      <c r="E94">
        <v>298</v>
      </c>
      <c r="F94">
        <v>125</v>
      </c>
      <c r="G94">
        <v>233</v>
      </c>
      <c r="H94">
        <v>18</v>
      </c>
      <c r="I94">
        <v>90</v>
      </c>
      <c r="J94" s="1">
        <v>46070</v>
      </c>
      <c r="K94">
        <f t="shared" si="14"/>
        <v>1.2789699570815452</v>
      </c>
      <c r="L94" t="str">
        <f t="shared" si="21"/>
        <v>No</v>
      </c>
      <c r="M94" t="str">
        <f t="shared" si="15"/>
        <v>Low</v>
      </c>
      <c r="N94">
        <f t="shared" si="16"/>
        <v>26820</v>
      </c>
      <c r="O94">
        <f t="shared" si="17"/>
        <v>5527</v>
      </c>
      <c r="P94" t="str">
        <f t="shared" si="18"/>
        <v>High</v>
      </c>
      <c r="Q94">
        <f t="shared" si="19"/>
        <v>26820</v>
      </c>
      <c r="R94" t="str">
        <f t="shared" si="20"/>
        <v>No</v>
      </c>
    </row>
    <row r="95" spans="1:18" x14ac:dyDescent="0.3">
      <c r="A95" t="s">
        <v>137</v>
      </c>
      <c r="B95" t="s">
        <v>51</v>
      </c>
      <c r="C95" t="s">
        <v>31</v>
      </c>
      <c r="D95" t="s">
        <v>32</v>
      </c>
      <c r="E95">
        <v>289</v>
      </c>
      <c r="F95">
        <v>85</v>
      </c>
      <c r="G95">
        <v>148</v>
      </c>
      <c r="H95">
        <v>189</v>
      </c>
      <c r="I95">
        <v>40</v>
      </c>
      <c r="J95" s="1">
        <v>46087</v>
      </c>
      <c r="K95">
        <f t="shared" si="14"/>
        <v>1.9527027027027026</v>
      </c>
      <c r="L95" t="str">
        <f t="shared" si="21"/>
        <v>No</v>
      </c>
      <c r="M95" t="str">
        <f t="shared" si="15"/>
        <v>Low</v>
      </c>
      <c r="N95">
        <f t="shared" si="16"/>
        <v>11560</v>
      </c>
      <c r="O95">
        <f t="shared" si="17"/>
        <v>28719</v>
      </c>
      <c r="P95" t="str">
        <f t="shared" si="18"/>
        <v>High</v>
      </c>
      <c r="Q95">
        <f t="shared" si="19"/>
        <v>11560</v>
      </c>
      <c r="R95" t="str">
        <f t="shared" si="20"/>
        <v>No</v>
      </c>
    </row>
    <row r="96" spans="1:18" x14ac:dyDescent="0.3">
      <c r="A96" t="s">
        <v>138</v>
      </c>
      <c r="B96" t="s">
        <v>53</v>
      </c>
      <c r="C96" t="s">
        <v>35</v>
      </c>
      <c r="D96" t="s">
        <v>28</v>
      </c>
      <c r="E96">
        <v>69</v>
      </c>
      <c r="F96">
        <v>228</v>
      </c>
      <c r="G96">
        <v>46</v>
      </c>
      <c r="H96">
        <v>235</v>
      </c>
      <c r="I96">
        <v>500</v>
      </c>
      <c r="J96" s="1">
        <v>46072</v>
      </c>
      <c r="K96">
        <f t="shared" si="14"/>
        <v>1.5</v>
      </c>
      <c r="L96" t="str">
        <f t="shared" si="21"/>
        <v>Yes</v>
      </c>
      <c r="M96" t="str">
        <f t="shared" si="15"/>
        <v>Critical</v>
      </c>
      <c r="N96">
        <f t="shared" si="16"/>
        <v>34500</v>
      </c>
      <c r="O96">
        <f t="shared" si="17"/>
        <v>11063</v>
      </c>
      <c r="P96" t="str">
        <f t="shared" si="18"/>
        <v>High</v>
      </c>
      <c r="Q96">
        <f t="shared" si="19"/>
        <v>34500</v>
      </c>
      <c r="R96" t="str">
        <f t="shared" si="20"/>
        <v>No</v>
      </c>
    </row>
    <row r="97" spans="1:18" x14ac:dyDescent="0.3">
      <c r="A97" t="s">
        <v>139</v>
      </c>
      <c r="B97" t="s">
        <v>55</v>
      </c>
      <c r="C97" t="s">
        <v>19</v>
      </c>
      <c r="D97" t="s">
        <v>39</v>
      </c>
      <c r="E97">
        <v>112</v>
      </c>
      <c r="F97">
        <v>152</v>
      </c>
      <c r="G97">
        <v>81</v>
      </c>
      <c r="H97">
        <v>109</v>
      </c>
      <c r="I97">
        <v>1200</v>
      </c>
      <c r="J97" s="1">
        <v>46067</v>
      </c>
      <c r="K97">
        <f t="shared" si="14"/>
        <v>1.382716049382716</v>
      </c>
      <c r="L97" t="str">
        <f t="shared" si="21"/>
        <v>Yes</v>
      </c>
      <c r="M97" t="str">
        <f t="shared" si="15"/>
        <v>Critical</v>
      </c>
      <c r="N97">
        <f t="shared" si="16"/>
        <v>134400</v>
      </c>
      <c r="O97">
        <f t="shared" si="17"/>
        <v>9284</v>
      </c>
      <c r="P97" t="str">
        <f t="shared" si="18"/>
        <v>High</v>
      </c>
      <c r="Q97">
        <f t="shared" si="19"/>
        <v>134400</v>
      </c>
      <c r="R97" t="str">
        <f t="shared" si="20"/>
        <v>No</v>
      </c>
    </row>
    <row r="98" spans="1:18" x14ac:dyDescent="0.3">
      <c r="A98" t="s">
        <v>140</v>
      </c>
      <c r="B98" t="s">
        <v>57</v>
      </c>
      <c r="C98" t="s">
        <v>23</v>
      </c>
      <c r="D98" t="s">
        <v>16</v>
      </c>
      <c r="E98">
        <v>142</v>
      </c>
      <c r="F98">
        <v>252</v>
      </c>
      <c r="G98">
        <v>196</v>
      </c>
      <c r="H98">
        <v>289</v>
      </c>
      <c r="I98">
        <v>20</v>
      </c>
      <c r="J98" s="1">
        <v>46082</v>
      </c>
      <c r="K98">
        <f t="shared" si="14"/>
        <v>0.72448979591836737</v>
      </c>
      <c r="L98" t="str">
        <f t="shared" si="21"/>
        <v>Yes</v>
      </c>
      <c r="M98" t="str">
        <f t="shared" si="15"/>
        <v>Critical</v>
      </c>
      <c r="N98">
        <f t="shared" si="16"/>
        <v>2840</v>
      </c>
      <c r="O98">
        <f t="shared" si="17"/>
        <v>57874</v>
      </c>
      <c r="P98" t="str">
        <f t="shared" si="18"/>
        <v>High</v>
      </c>
      <c r="Q98">
        <f t="shared" si="19"/>
        <v>2840</v>
      </c>
      <c r="R98" t="str">
        <f t="shared" si="20"/>
        <v>No</v>
      </c>
    </row>
    <row r="99" spans="1:18" x14ac:dyDescent="0.3">
      <c r="A99" t="s">
        <v>141</v>
      </c>
      <c r="B99" t="s">
        <v>59</v>
      </c>
      <c r="C99" t="s">
        <v>27</v>
      </c>
      <c r="D99" t="s">
        <v>16</v>
      </c>
      <c r="E99">
        <v>259</v>
      </c>
      <c r="F99">
        <v>261</v>
      </c>
      <c r="G99">
        <v>29</v>
      </c>
      <c r="H99">
        <v>219</v>
      </c>
      <c r="I99">
        <v>350</v>
      </c>
      <c r="J99" s="1">
        <v>46076</v>
      </c>
      <c r="K99">
        <f t="shared" si="14"/>
        <v>8.931034482758621</v>
      </c>
      <c r="L99" t="str">
        <f t="shared" si="21"/>
        <v>Yes</v>
      </c>
      <c r="M99" t="str">
        <f t="shared" si="15"/>
        <v>Critical</v>
      </c>
      <c r="N99">
        <f t="shared" si="16"/>
        <v>90650</v>
      </c>
      <c r="O99">
        <f t="shared" si="17"/>
        <v>6295</v>
      </c>
      <c r="P99" t="str">
        <f t="shared" si="18"/>
        <v>High</v>
      </c>
      <c r="Q99">
        <f t="shared" si="19"/>
        <v>90650</v>
      </c>
      <c r="R99" t="str">
        <f t="shared" si="20"/>
        <v>No</v>
      </c>
    </row>
    <row r="100" spans="1:18" x14ac:dyDescent="0.3">
      <c r="A100" t="s">
        <v>142</v>
      </c>
      <c r="B100" t="s">
        <v>61</v>
      </c>
      <c r="C100" t="s">
        <v>31</v>
      </c>
      <c r="D100" t="s">
        <v>36</v>
      </c>
      <c r="E100">
        <v>77</v>
      </c>
      <c r="F100">
        <v>68</v>
      </c>
      <c r="G100">
        <v>227</v>
      </c>
      <c r="H100">
        <v>254</v>
      </c>
      <c r="I100">
        <v>300</v>
      </c>
      <c r="J100" s="1">
        <v>46085</v>
      </c>
      <c r="K100">
        <f t="shared" si="14"/>
        <v>0.33920704845814981</v>
      </c>
      <c r="L100" t="str">
        <f t="shared" si="21"/>
        <v>No</v>
      </c>
      <c r="M100" t="str">
        <f t="shared" si="15"/>
        <v>Low</v>
      </c>
      <c r="N100">
        <f t="shared" si="16"/>
        <v>23100</v>
      </c>
      <c r="O100">
        <f t="shared" si="17"/>
        <v>59170</v>
      </c>
      <c r="P100" t="str">
        <f t="shared" si="18"/>
        <v>High</v>
      </c>
      <c r="Q100">
        <f t="shared" si="19"/>
        <v>23100</v>
      </c>
      <c r="R100" t="str">
        <f t="shared" si="20"/>
        <v>No</v>
      </c>
    </row>
    <row r="101" spans="1:18" x14ac:dyDescent="0.3">
      <c r="A101" t="s">
        <v>143</v>
      </c>
      <c r="B101" t="s">
        <v>63</v>
      </c>
      <c r="C101" t="s">
        <v>35</v>
      </c>
      <c r="D101" t="s">
        <v>39</v>
      </c>
      <c r="E101">
        <v>45</v>
      </c>
      <c r="F101">
        <v>256</v>
      </c>
      <c r="G101">
        <v>200</v>
      </c>
      <c r="H101">
        <v>11</v>
      </c>
      <c r="I101">
        <v>250</v>
      </c>
      <c r="J101" s="1">
        <v>46069</v>
      </c>
      <c r="K101">
        <f t="shared" si="14"/>
        <v>0.22500000000000001</v>
      </c>
      <c r="L101" t="str">
        <f t="shared" si="21"/>
        <v>Yes</v>
      </c>
      <c r="M101" t="str">
        <f t="shared" si="15"/>
        <v>Critical</v>
      </c>
      <c r="N101">
        <f t="shared" si="16"/>
        <v>11250</v>
      </c>
      <c r="O101">
        <f t="shared" si="17"/>
        <v>3555</v>
      </c>
      <c r="P101" t="str">
        <f t="shared" si="18"/>
        <v>High</v>
      </c>
      <c r="Q101">
        <f t="shared" si="19"/>
        <v>11250</v>
      </c>
      <c r="R101" t="str">
        <f t="shared" si="20"/>
        <v>No</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F684-638C-438E-9AF3-9D1E1C61E28B}">
  <dimension ref="A1:L32"/>
  <sheetViews>
    <sheetView tabSelected="1" zoomScale="83" workbookViewId="0">
      <selection activeCell="K18" sqref="K18"/>
    </sheetView>
  </sheetViews>
  <sheetFormatPr defaultRowHeight="14.4" x14ac:dyDescent="0.3"/>
  <cols>
    <col min="1" max="1" width="30.5546875" bestFit="1" customWidth="1"/>
    <col min="2" max="2" width="17.6640625" bestFit="1" customWidth="1"/>
    <col min="5" max="5" width="33.44140625" bestFit="1" customWidth="1"/>
    <col min="6" max="6" width="14.109375" bestFit="1" customWidth="1"/>
    <col min="7" max="7" width="5.88671875" customWidth="1"/>
    <col min="8" max="8" width="6.21875" customWidth="1"/>
    <col min="9" max="9" width="10.5546875" bestFit="1" customWidth="1"/>
    <col min="11" max="11" width="30.5546875" bestFit="1" customWidth="1"/>
    <col min="12" max="12" width="13.77734375" bestFit="1" customWidth="1"/>
  </cols>
  <sheetData>
    <row r="1" spans="1:12" ht="21" x14ac:dyDescent="0.4">
      <c r="A1" s="6" t="s">
        <v>162</v>
      </c>
      <c r="E1" s="5" t="s">
        <v>160</v>
      </c>
      <c r="K1" s="5" t="s">
        <v>172</v>
      </c>
    </row>
    <row r="3" spans="1:12" x14ac:dyDescent="0.3">
      <c r="A3" s="7" t="s">
        <v>163</v>
      </c>
      <c r="B3" s="7" t="s">
        <v>164</v>
      </c>
      <c r="E3" s="17" t="s">
        <v>161</v>
      </c>
      <c r="F3" s="18" t="s">
        <v>155</v>
      </c>
      <c r="G3" s="19"/>
      <c r="H3" s="19"/>
      <c r="K3" s="14" t="s">
        <v>173</v>
      </c>
      <c r="L3" s="16" t="s">
        <v>178</v>
      </c>
    </row>
    <row r="4" spans="1:12" x14ac:dyDescent="0.3">
      <c r="A4" s="8" t="s">
        <v>165</v>
      </c>
      <c r="B4" s="10">
        <f>COUNTA(tblCalc[Product_ID])</f>
        <v>100</v>
      </c>
      <c r="E4" s="18" t="s">
        <v>2</v>
      </c>
      <c r="F4" s="15" t="s">
        <v>152</v>
      </c>
      <c r="G4" s="15" t="s">
        <v>153</v>
      </c>
      <c r="H4" s="15" t="s">
        <v>154</v>
      </c>
      <c r="I4" s="4"/>
      <c r="K4" s="14" t="s">
        <v>174</v>
      </c>
      <c r="L4" s="14" t="str">
        <f>_xlfn.XLOOKUP(L3,tblCalc[Product_ID],tblCalc[Product_Name],"Not Found")</f>
        <v>Not Found</v>
      </c>
    </row>
    <row r="5" spans="1:12" x14ac:dyDescent="0.3">
      <c r="A5" s="9" t="s">
        <v>166</v>
      </c>
      <c r="B5" s="10">
        <f>COUNTIF(tblCalc[Stock_Status],"Critical")</f>
        <v>47</v>
      </c>
      <c r="E5" s="19" t="s">
        <v>23</v>
      </c>
      <c r="F5" s="20">
        <v>10</v>
      </c>
      <c r="G5" s="20">
        <v>8</v>
      </c>
      <c r="H5" s="20">
        <v>2</v>
      </c>
      <c r="K5" s="15" t="s">
        <v>2</v>
      </c>
      <c r="L5" s="14" t="str">
        <f>_xlfn.XLOOKUP(L3,tblCalc[Product_ID],tblCalc[Category],"Not Found")</f>
        <v>Not Found</v>
      </c>
    </row>
    <row r="6" spans="1:12" x14ac:dyDescent="0.3">
      <c r="A6" s="8" t="s">
        <v>167</v>
      </c>
      <c r="B6" s="10">
        <f>COUNTIF(tblCalc[Stock_Status],"Low")</f>
        <v>40</v>
      </c>
      <c r="E6" s="19" t="s">
        <v>35</v>
      </c>
      <c r="F6" s="20">
        <v>9</v>
      </c>
      <c r="G6" s="20">
        <v>6</v>
      </c>
      <c r="H6" s="20">
        <v>0</v>
      </c>
      <c r="K6" s="14" t="s">
        <v>3</v>
      </c>
      <c r="L6" s="14" t="str">
        <f>_xlfn.XLOOKUP(L3,tblCalc[Product_ID],tblCalc[Supplier],"Not Found")</f>
        <v>Not Found</v>
      </c>
    </row>
    <row r="7" spans="1:12" x14ac:dyDescent="0.3">
      <c r="A7" s="8" t="s">
        <v>168</v>
      </c>
      <c r="B7" s="10">
        <f>COUNTIF(tblCalc[Stock_Status],"Safe")</f>
        <v>13</v>
      </c>
      <c r="E7" s="19" t="s">
        <v>27</v>
      </c>
      <c r="F7" s="20">
        <v>9</v>
      </c>
      <c r="G7" s="20">
        <v>11</v>
      </c>
      <c r="H7" s="20">
        <v>0</v>
      </c>
      <c r="K7" s="14" t="s">
        <v>175</v>
      </c>
      <c r="L7" s="14" t="str">
        <f>_xlfn.XLOOKUP(L3,tblCalc[Product_ID],tblCalc[Current_Stock],"Not Found")</f>
        <v>Not Found</v>
      </c>
    </row>
    <row r="8" spans="1:12" x14ac:dyDescent="0.3">
      <c r="A8" s="8" t="s">
        <v>169</v>
      </c>
      <c r="B8" s="11">
        <f>B5/B4</f>
        <v>0.47</v>
      </c>
      <c r="E8" s="19" t="s">
        <v>19</v>
      </c>
      <c r="F8" s="20">
        <v>8</v>
      </c>
      <c r="G8" s="20">
        <v>5</v>
      </c>
      <c r="H8" s="20">
        <v>2</v>
      </c>
      <c r="K8" s="14" t="s">
        <v>155</v>
      </c>
      <c r="L8" s="14" t="str">
        <f>_xlfn.XLOOKUP(L3,tblCalc[Product_ID],tblCalc[Stock_Status],"Not Found")</f>
        <v>Not Found</v>
      </c>
    </row>
    <row r="9" spans="1:12" x14ac:dyDescent="0.3">
      <c r="A9" s="8" t="s">
        <v>170</v>
      </c>
      <c r="B9" s="12">
        <f>SUM(tblCalc[Inventory_Value])</f>
        <v>5237780</v>
      </c>
      <c r="E9" s="19" t="s">
        <v>12</v>
      </c>
      <c r="F9" s="20">
        <v>7</v>
      </c>
      <c r="G9" s="20">
        <v>3</v>
      </c>
      <c r="H9" s="20">
        <v>5</v>
      </c>
      <c r="K9" s="14" t="s">
        <v>176</v>
      </c>
      <c r="L9" s="14" t="str">
        <f>_xlfn.XLOOKUP(L3,tblCalc[Product_ID],tblCalc[Reorder_Needed],"Not Found")</f>
        <v>Not Found</v>
      </c>
    </row>
    <row r="10" spans="1:12" x14ac:dyDescent="0.3">
      <c r="A10" s="8" t="s">
        <v>171</v>
      </c>
      <c r="B10" s="13">
        <f>AVERAGE(tblCalc[Days_Stock_Left])</f>
        <v>7.3253053691085395</v>
      </c>
      <c r="E10" s="19" t="s">
        <v>31</v>
      </c>
      <c r="F10" s="20">
        <v>4</v>
      </c>
      <c r="G10" s="20">
        <v>7</v>
      </c>
      <c r="H10" s="20">
        <v>4</v>
      </c>
      <c r="K10" s="14" t="s">
        <v>177</v>
      </c>
      <c r="L10" s="14" t="str">
        <f>_xlfn.XLOOKUP(L3,tblCalc[Product_ID],tblCalc[Reorder_Quantity],"Not Found")</f>
        <v>Not Found</v>
      </c>
    </row>
    <row r="13" spans="1:12" ht="21" x14ac:dyDescent="0.4">
      <c r="A13" s="5" t="s">
        <v>159</v>
      </c>
      <c r="E13" s="5"/>
    </row>
    <row r="15" spans="1:12" x14ac:dyDescent="0.3">
      <c r="A15" s="17" t="s">
        <v>146</v>
      </c>
      <c r="B15" s="14" t="s">
        <v>156</v>
      </c>
    </row>
    <row r="16" spans="1:12" x14ac:dyDescent="0.3">
      <c r="A16" s="14" t="s">
        <v>152</v>
      </c>
      <c r="B16" s="21">
        <v>47</v>
      </c>
    </row>
    <row r="17" spans="1:2" x14ac:dyDescent="0.3">
      <c r="A17" s="14" t="s">
        <v>153</v>
      </c>
      <c r="B17" s="21">
        <v>40</v>
      </c>
    </row>
    <row r="18" spans="1:2" x14ac:dyDescent="0.3">
      <c r="A18" s="14" t="s">
        <v>154</v>
      </c>
      <c r="B18" s="21">
        <v>13</v>
      </c>
    </row>
    <row r="22" spans="1:2" ht="21" x14ac:dyDescent="0.4">
      <c r="A22" s="5" t="s">
        <v>158</v>
      </c>
    </row>
    <row r="24" spans="1:2" x14ac:dyDescent="0.3">
      <c r="A24" s="17" t="s">
        <v>3</v>
      </c>
      <c r="B24" s="14" t="s">
        <v>157</v>
      </c>
    </row>
    <row r="25" spans="1:2" x14ac:dyDescent="0.3">
      <c r="A25" s="14" t="s">
        <v>24</v>
      </c>
      <c r="B25" s="21">
        <v>11</v>
      </c>
    </row>
    <row r="26" spans="1:2" x14ac:dyDescent="0.3">
      <c r="A26" s="14" t="s">
        <v>16</v>
      </c>
      <c r="B26" s="21">
        <v>8</v>
      </c>
    </row>
    <row r="27" spans="1:2" x14ac:dyDescent="0.3">
      <c r="A27" s="14" t="s">
        <v>28</v>
      </c>
      <c r="B27" s="21">
        <v>6</v>
      </c>
    </row>
    <row r="28" spans="1:2" x14ac:dyDescent="0.3">
      <c r="A28" s="14" t="s">
        <v>20</v>
      </c>
      <c r="B28" s="21">
        <v>6</v>
      </c>
    </row>
    <row r="29" spans="1:2" x14ac:dyDescent="0.3">
      <c r="A29" s="14" t="s">
        <v>39</v>
      </c>
      <c r="B29" s="21">
        <v>5</v>
      </c>
    </row>
    <row r="30" spans="1:2" x14ac:dyDescent="0.3">
      <c r="A30" s="14" t="s">
        <v>36</v>
      </c>
      <c r="B30" s="21">
        <v>4</v>
      </c>
    </row>
    <row r="31" spans="1:2" x14ac:dyDescent="0.3">
      <c r="A31" s="14" t="s">
        <v>32</v>
      </c>
      <c r="B31" s="21">
        <v>4</v>
      </c>
    </row>
    <row r="32" spans="1:2" x14ac:dyDescent="0.3">
      <c r="A32" s="14" t="s">
        <v>13</v>
      </c>
      <c r="B32" s="21">
        <v>3</v>
      </c>
    </row>
  </sheetData>
  <conditionalFormatting pivot="1" sqref="F5:F10">
    <cfRule type="colorScale" priority="6">
      <colorScale>
        <cfvo type="min"/>
        <cfvo type="percentile" val="50"/>
        <cfvo type="max"/>
        <color rgb="FF63BE7B"/>
        <color rgb="FFFFEB84"/>
        <color rgb="FFF8696B"/>
      </colorScale>
    </cfRule>
  </conditionalFormatting>
  <conditionalFormatting pivot="1" sqref="B25:B32">
    <cfRule type="colorScale" priority="5">
      <colorScale>
        <cfvo type="min"/>
        <cfvo type="percentile" val="50"/>
        <cfvo type="max"/>
        <color rgb="FF63BE7B"/>
        <color rgb="FFFFEB84"/>
        <color rgb="FFF8696B"/>
      </colorScale>
    </cfRule>
  </conditionalFormatting>
  <conditionalFormatting sqref="B4:B7">
    <cfRule type="dataBar" priority="2">
      <dataBar>
        <cfvo type="min"/>
        <cfvo type="max"/>
        <color rgb="FF008AEF"/>
      </dataBar>
      <extLst>
        <ext xmlns:x14="http://schemas.microsoft.com/office/spreadsheetml/2009/9/main" uri="{B025F937-C7B1-47D3-B67F-A62EFF666E3E}">
          <x14:id>{424F7D12-9A00-4C9B-9393-AF7F94808573}</x14:id>
        </ext>
      </extLst>
    </cfRule>
  </conditionalFormatting>
  <conditionalFormatting pivot="1" sqref="B16:B18">
    <cfRule type="dataBar" priority="1">
      <dataBar>
        <cfvo type="min"/>
        <cfvo type="max"/>
        <color rgb="FFFF555A"/>
      </dataBar>
      <extLst>
        <ext xmlns:x14="http://schemas.microsoft.com/office/spreadsheetml/2009/9/main" uri="{B025F937-C7B1-47D3-B67F-A62EFF666E3E}">
          <x14:id>{3F4DB9EF-84E4-43D7-8F53-4D5425700A7F}</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424F7D12-9A00-4C9B-9393-AF7F94808573}">
            <x14:dataBar minLength="0" maxLength="100" border="1" negativeBarBorderColorSameAsPositive="0">
              <x14:cfvo type="autoMin"/>
              <x14:cfvo type="autoMax"/>
              <x14:borderColor rgb="FF008AEF"/>
              <x14:negativeFillColor rgb="FFFF0000"/>
              <x14:negativeBorderColor rgb="FFFF0000"/>
              <x14:axisColor rgb="FF000000"/>
            </x14:dataBar>
          </x14:cfRule>
          <xm:sqref>B4:B7</xm:sqref>
        </x14:conditionalFormatting>
        <x14:conditionalFormatting xmlns:xm="http://schemas.microsoft.com/office/excel/2006/main" pivot="1">
          <x14:cfRule type="dataBar" id="{3F4DB9EF-84E4-43D7-8F53-4D5425700A7F}">
            <x14:dataBar minLength="0" maxLength="100" border="1" negativeBarBorderColorSameAsPositive="0">
              <x14:cfvo type="autoMin"/>
              <x14:cfvo type="autoMax"/>
              <x14:borderColor rgb="FFFF555A"/>
              <x14:negativeFillColor rgb="FFFF0000"/>
              <x14:negativeBorderColor rgb="FFFF0000"/>
              <x14:axisColor rgb="FF000000"/>
            </x14:dataBar>
          </x14:cfRule>
          <xm:sqref>B16:B18</xm:sqref>
        </x14:conditionalFormatting>
      </x14:conditionalFormattings>
    </ex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Calculations</vt:lpstr>
      <vt:lpstr>Pivot_Summary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NEHARIKA D NEHARIKA</dc:creator>
  <cp:lastModifiedBy>Neharika D</cp:lastModifiedBy>
  <dcterms:created xsi:type="dcterms:W3CDTF">2026-04-14T18:48:10Z</dcterms:created>
  <dcterms:modified xsi:type="dcterms:W3CDTF">2026-04-16T11:39:21Z</dcterms:modified>
</cp:coreProperties>
</file>